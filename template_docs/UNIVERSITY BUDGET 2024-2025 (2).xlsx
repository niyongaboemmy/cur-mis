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HP\Documents\Administration and Finance\Finance\"/>
    </mc:Choice>
  </mc:AlternateContent>
  <bookViews>
    <workbookView xWindow="-110" yWindow="-110" windowWidth="19420" windowHeight="10300"/>
  </bookViews>
  <sheets>
    <sheet name="BUDGET 2024-2025" sheetId="1" r:id="rId1"/>
    <sheet name="Execution of the budget" sheetId="11" r:id="rId2"/>
    <sheet name="INCOME DETAILS" sheetId="2" r:id="rId3"/>
    <sheet name="INCOME EXECUTION 2024-2025" sheetId="10" r:id="rId4"/>
    <sheet name="DETAILED Number of students" sheetId="3" r:id="rId5"/>
    <sheet name="Sheet1" sheetId="4" r:id="rId6"/>
    <sheet name="Communication fees" sheetId="6" r:id="rId7"/>
    <sheet name="Responsability allowance" sheetId="7" r:id="rId8"/>
    <sheet name="Sheet5" sheetId="8" r:id="rId9"/>
    <sheet name="Part-time staff cost" sheetId="9" r:id="rId10"/>
    <sheet name="STAFF COST DETAILS" sheetId="5" r:id="rId11"/>
  </sheets>
  <definedNames>
    <definedName name="_xlnm.Print_Area" localSheetId="2">'INCOME DETAILS'!$A$1:$AG$120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23" i="1" l="1"/>
  <c r="Q128" i="11" l="1"/>
  <c r="Q126" i="11"/>
  <c r="Q95" i="11"/>
  <c r="N6" i="11"/>
  <c r="O6" i="11" s="1"/>
  <c r="O64" i="11"/>
  <c r="Q104" i="11"/>
  <c r="Q124" i="11"/>
  <c r="Q105" i="11"/>
  <c r="Q107" i="11"/>
  <c r="Q120" i="11"/>
  <c r="Q121" i="11"/>
  <c r="Q123" i="11"/>
  <c r="P105" i="11"/>
  <c r="P107" i="11"/>
  <c r="P120" i="11"/>
  <c r="P121" i="11"/>
  <c r="P123" i="11"/>
  <c r="P124" i="11"/>
  <c r="P104" i="11"/>
  <c r="Q97" i="11"/>
  <c r="P97" i="11"/>
  <c r="Q87" i="11"/>
  <c r="Q88" i="11"/>
  <c r="Q91" i="11"/>
  <c r="Q92" i="11"/>
  <c r="Q93" i="11"/>
  <c r="P87" i="11"/>
  <c r="P88" i="11"/>
  <c r="P91" i="11"/>
  <c r="P92" i="11"/>
  <c r="P93" i="11"/>
  <c r="Q86" i="11"/>
  <c r="P86" i="11"/>
  <c r="O68" i="11" l="1"/>
  <c r="O82" i="11"/>
  <c r="O95" i="11"/>
  <c r="O125" i="11"/>
  <c r="O115" i="11"/>
  <c r="O114" i="11"/>
  <c r="O89" i="11"/>
  <c r="Q79" i="11"/>
  <c r="Q83" i="11"/>
  <c r="P79" i="11"/>
  <c r="P83" i="11"/>
  <c r="O77" i="11"/>
  <c r="P77" i="11" s="1"/>
  <c r="O70" i="11"/>
  <c r="Q70" i="11" s="1"/>
  <c r="N73" i="11"/>
  <c r="N50" i="11"/>
  <c r="Q50" i="11" s="1"/>
  <c r="Q59" i="11"/>
  <c r="Q63" i="11"/>
  <c r="Q64" i="11"/>
  <c r="Q65" i="11"/>
  <c r="Q66" i="11"/>
  <c r="Q67" i="11"/>
  <c r="Q69" i="11"/>
  <c r="Q71" i="11"/>
  <c r="P59" i="11"/>
  <c r="P63" i="11"/>
  <c r="P64" i="11"/>
  <c r="P65" i="11"/>
  <c r="P66" i="11"/>
  <c r="P67" i="11"/>
  <c r="P69" i="11"/>
  <c r="P71" i="11"/>
  <c r="O98" i="11"/>
  <c r="Q37" i="11"/>
  <c r="P37" i="11"/>
  <c r="O38" i="11"/>
  <c r="E39" i="10"/>
  <c r="E37" i="10"/>
  <c r="E36" i="10"/>
  <c r="Q33" i="11"/>
  <c r="O34" i="11"/>
  <c r="Q31" i="11"/>
  <c r="Q32" i="11"/>
  <c r="P31" i="11"/>
  <c r="P32" i="11"/>
  <c r="P33" i="11"/>
  <c r="M125" i="11"/>
  <c r="L125" i="11"/>
  <c r="K125" i="11"/>
  <c r="J125" i="11"/>
  <c r="I125" i="11"/>
  <c r="H125" i="11"/>
  <c r="G125" i="11"/>
  <c r="F125" i="11"/>
  <c r="E125" i="11"/>
  <c r="D125" i="11"/>
  <c r="C125" i="11"/>
  <c r="B124" i="11"/>
  <c r="B123" i="11"/>
  <c r="B122" i="11"/>
  <c r="B121" i="11"/>
  <c r="B120" i="11"/>
  <c r="N119" i="11"/>
  <c r="M117" i="11"/>
  <c r="L117" i="11"/>
  <c r="K117" i="11"/>
  <c r="J117" i="11"/>
  <c r="I117" i="11"/>
  <c r="H117" i="11"/>
  <c r="G117" i="11"/>
  <c r="F117" i="11"/>
  <c r="E117" i="11"/>
  <c r="D117" i="11"/>
  <c r="C117" i="11"/>
  <c r="N116" i="11"/>
  <c r="B115" i="11"/>
  <c r="B114" i="11"/>
  <c r="M110" i="11"/>
  <c r="L110" i="11"/>
  <c r="K110" i="11"/>
  <c r="I110" i="11"/>
  <c r="H110" i="11"/>
  <c r="G110" i="11"/>
  <c r="F110" i="11"/>
  <c r="E110" i="11"/>
  <c r="D110" i="11"/>
  <c r="C110" i="11"/>
  <c r="N109" i="11"/>
  <c r="O109" i="11" s="1"/>
  <c r="Q109" i="11" s="1"/>
  <c r="B107" i="11"/>
  <c r="N106" i="11"/>
  <c r="Q106" i="11" s="1"/>
  <c r="B105" i="11"/>
  <c r="B104" i="11"/>
  <c r="N99" i="11"/>
  <c r="M99" i="11"/>
  <c r="L99" i="11"/>
  <c r="K99" i="11"/>
  <c r="J99" i="11"/>
  <c r="I99" i="11"/>
  <c r="H99" i="11"/>
  <c r="G99" i="11"/>
  <c r="F99" i="11"/>
  <c r="E99" i="11"/>
  <c r="D99" i="11"/>
  <c r="C99" i="11"/>
  <c r="B98" i="11"/>
  <c r="B97" i="11"/>
  <c r="M95" i="11"/>
  <c r="L95" i="11"/>
  <c r="K95" i="11"/>
  <c r="J95" i="11"/>
  <c r="I95" i="11"/>
  <c r="H95" i="11"/>
  <c r="G95" i="11"/>
  <c r="F95" i="11"/>
  <c r="E95" i="11"/>
  <c r="D95" i="11"/>
  <c r="C95" i="11"/>
  <c r="N94" i="11"/>
  <c r="B93" i="11"/>
  <c r="B92" i="11"/>
  <c r="B91" i="11"/>
  <c r="B87" i="11"/>
  <c r="B86" i="11"/>
  <c r="M84" i="11"/>
  <c r="L84" i="11"/>
  <c r="K84" i="11"/>
  <c r="J84" i="11"/>
  <c r="I84" i="11"/>
  <c r="H84" i="11"/>
  <c r="G84" i="11"/>
  <c r="F84" i="11"/>
  <c r="E84" i="11"/>
  <c r="D84" i="11"/>
  <c r="C84" i="11"/>
  <c r="B83" i="11"/>
  <c r="B84" i="11" s="1"/>
  <c r="N82" i="11"/>
  <c r="N81" i="11"/>
  <c r="P81" i="11" s="1"/>
  <c r="N80" i="11"/>
  <c r="P80" i="11" s="1"/>
  <c r="N78" i="11"/>
  <c r="O78" i="11" s="1"/>
  <c r="N74" i="11"/>
  <c r="Q74" i="11" s="1"/>
  <c r="N72" i="11"/>
  <c r="B71" i="11"/>
  <c r="B70" i="11"/>
  <c r="B69" i="11"/>
  <c r="B68" i="11"/>
  <c r="B67" i="11"/>
  <c r="B66" i="11"/>
  <c r="B65" i="11"/>
  <c r="B64" i="11"/>
  <c r="B63" i="11"/>
  <c r="N62" i="11"/>
  <c r="M61" i="11"/>
  <c r="L61" i="11"/>
  <c r="K61" i="11"/>
  <c r="J61" i="11"/>
  <c r="I61" i="11"/>
  <c r="H61" i="11"/>
  <c r="G61" i="11"/>
  <c r="F61" i="11"/>
  <c r="E61" i="11"/>
  <c r="D61" i="11"/>
  <c r="C61" i="11"/>
  <c r="B61" i="11"/>
  <c r="N60" i="11"/>
  <c r="Q60" i="11" s="1"/>
  <c r="N58" i="11"/>
  <c r="O58" i="11" s="1"/>
  <c r="N57" i="11"/>
  <c r="B57" i="11" s="1"/>
  <c r="N56" i="11"/>
  <c r="Q56" i="11" s="1"/>
  <c r="N55" i="11"/>
  <c r="Q55" i="11" s="1"/>
  <c r="N54" i="11"/>
  <c r="O54" i="11" s="1"/>
  <c r="N53" i="11"/>
  <c r="B53" i="11" s="1"/>
  <c r="N52" i="11"/>
  <c r="Q52" i="11" s="1"/>
  <c r="M51" i="11"/>
  <c r="L51" i="11"/>
  <c r="K51" i="11"/>
  <c r="J51" i="11"/>
  <c r="I51" i="11"/>
  <c r="H51" i="11"/>
  <c r="G51" i="11"/>
  <c r="F51" i="11"/>
  <c r="E51" i="11"/>
  <c r="D51" i="11"/>
  <c r="C51" i="11"/>
  <c r="B51" i="11"/>
  <c r="N49" i="11"/>
  <c r="Q49" i="11" s="1"/>
  <c r="N46" i="11"/>
  <c r="N45" i="11"/>
  <c r="N44" i="11"/>
  <c r="B43" i="11"/>
  <c r="C43" i="11" s="1"/>
  <c r="N42" i="11"/>
  <c r="M38" i="11"/>
  <c r="L38" i="11"/>
  <c r="K38" i="11"/>
  <c r="J38" i="11"/>
  <c r="I38" i="11"/>
  <c r="H38" i="11"/>
  <c r="G38" i="11"/>
  <c r="E38" i="11"/>
  <c r="D38" i="11"/>
  <c r="C38" i="11"/>
  <c r="F37" i="11"/>
  <c r="F38" i="11" s="1"/>
  <c r="N36" i="11"/>
  <c r="N38" i="11" s="1"/>
  <c r="B33" i="11"/>
  <c r="B32" i="11"/>
  <c r="B31" i="11"/>
  <c r="N30" i="11"/>
  <c r="P30" i="11" s="1"/>
  <c r="N29" i="11"/>
  <c r="B29" i="11" s="1"/>
  <c r="N28" i="11"/>
  <c r="B28" i="11" s="1"/>
  <c r="N27" i="11"/>
  <c r="Q27" i="11" s="1"/>
  <c r="M26" i="11"/>
  <c r="M34" i="11" s="1"/>
  <c r="L26" i="11"/>
  <c r="L34" i="11" s="1"/>
  <c r="J26" i="11"/>
  <c r="I26" i="11"/>
  <c r="I34" i="11" s="1"/>
  <c r="H26" i="11"/>
  <c r="H34" i="11" s="1"/>
  <c r="G26" i="11"/>
  <c r="G34" i="11" s="1"/>
  <c r="E26" i="11"/>
  <c r="E34" i="11" s="1"/>
  <c r="D26" i="11"/>
  <c r="D34" i="11" s="1"/>
  <c r="C26" i="11"/>
  <c r="C34" i="11" s="1"/>
  <c r="N25" i="11"/>
  <c r="F25" i="11" s="1"/>
  <c r="F26" i="11" s="1"/>
  <c r="F34" i="11" s="1"/>
  <c r="N24" i="11"/>
  <c r="N108" i="11" s="1"/>
  <c r="N23" i="11"/>
  <c r="K23" i="11" s="1"/>
  <c r="B22" i="11"/>
  <c r="N20" i="11"/>
  <c r="K20" i="11" s="1"/>
  <c r="N19" i="11"/>
  <c r="B19" i="11" s="1"/>
  <c r="N18" i="11"/>
  <c r="B18" i="11" s="1"/>
  <c r="N17" i="11"/>
  <c r="B17" i="11" s="1"/>
  <c r="N16" i="11"/>
  <c r="B16" i="11" s="1"/>
  <c r="N15" i="11"/>
  <c r="B15" i="11" s="1"/>
  <c r="N14" i="11"/>
  <c r="B14" i="11" s="1"/>
  <c r="N13" i="11"/>
  <c r="N10" i="11"/>
  <c r="N90" i="11" s="1"/>
  <c r="D75" i="11" l="1"/>
  <c r="L75" i="11"/>
  <c r="P38" i="11"/>
  <c r="J75" i="11"/>
  <c r="B117" i="11"/>
  <c r="E75" i="11"/>
  <c r="M75" i="11"/>
  <c r="P70" i="11"/>
  <c r="P56" i="11"/>
  <c r="G75" i="11"/>
  <c r="Q57" i="11"/>
  <c r="Q81" i="11"/>
  <c r="P82" i="11"/>
  <c r="P78" i="11"/>
  <c r="Q78" i="11"/>
  <c r="Q77" i="11"/>
  <c r="O110" i="11"/>
  <c r="P108" i="11"/>
  <c r="Q108" i="11"/>
  <c r="Q44" i="11"/>
  <c r="P44" i="11"/>
  <c r="N117" i="11"/>
  <c r="O39" i="11"/>
  <c r="P55" i="11"/>
  <c r="J109" i="11"/>
  <c r="J110" i="11" s="1"/>
  <c r="P109" i="11"/>
  <c r="P115" i="11"/>
  <c r="Q115" i="11"/>
  <c r="Q42" i="11"/>
  <c r="P42" i="11"/>
  <c r="O72" i="11"/>
  <c r="O75" i="11" s="1"/>
  <c r="Q46" i="11"/>
  <c r="P46" i="11"/>
  <c r="P114" i="11"/>
  <c r="Q114" i="11"/>
  <c r="N125" i="11"/>
  <c r="Q125" i="11" s="1"/>
  <c r="Q119" i="11"/>
  <c r="P119" i="11"/>
  <c r="P98" i="11"/>
  <c r="Q98" i="11"/>
  <c r="O116" i="11"/>
  <c r="Q116" i="11" s="1"/>
  <c r="Q58" i="11"/>
  <c r="Q99" i="11"/>
  <c r="P99" i="11"/>
  <c r="Q45" i="11"/>
  <c r="P45" i="11"/>
  <c r="P106" i="11"/>
  <c r="Q80" i="11"/>
  <c r="Q90" i="11"/>
  <c r="P90" i="11"/>
  <c r="C75" i="11"/>
  <c r="K75" i="11"/>
  <c r="Q94" i="11"/>
  <c r="P94" i="11"/>
  <c r="B125" i="11"/>
  <c r="Q89" i="11"/>
  <c r="P89" i="11"/>
  <c r="Q122" i="11"/>
  <c r="P122" i="11"/>
  <c r="Q62" i="11"/>
  <c r="O84" i="11"/>
  <c r="Q82" i="11"/>
  <c r="Q73" i="11"/>
  <c r="P73" i="11"/>
  <c r="Q54" i="11"/>
  <c r="P62" i="11"/>
  <c r="P54" i="11"/>
  <c r="B36" i="11"/>
  <c r="B38" i="11" s="1"/>
  <c r="P53" i="11"/>
  <c r="P68" i="11"/>
  <c r="P60" i="11"/>
  <c r="P52" i="11"/>
  <c r="Q53" i="11"/>
  <c r="P36" i="11"/>
  <c r="P49" i="11"/>
  <c r="Q68" i="11"/>
  <c r="P74" i="11"/>
  <c r="P58" i="11"/>
  <c r="P57" i="11"/>
  <c r="P50" i="11"/>
  <c r="B58" i="11"/>
  <c r="B75" i="11" s="1"/>
  <c r="C39" i="11"/>
  <c r="F75" i="11"/>
  <c r="H75" i="11"/>
  <c r="P27" i="11"/>
  <c r="N95" i="11"/>
  <c r="F39" i="11"/>
  <c r="I39" i="11"/>
  <c r="J30" i="11"/>
  <c r="J34" i="11" s="1"/>
  <c r="J39" i="11" s="1"/>
  <c r="H39" i="11"/>
  <c r="N26" i="11"/>
  <c r="I75" i="11"/>
  <c r="N61" i="11"/>
  <c r="Q30" i="11"/>
  <c r="Q36" i="11"/>
  <c r="Q29" i="11"/>
  <c r="M39" i="11"/>
  <c r="N84" i="11"/>
  <c r="Q28" i="11"/>
  <c r="Q38" i="11"/>
  <c r="K26" i="11"/>
  <c r="K34" i="11" s="1"/>
  <c r="K39" i="11" s="1"/>
  <c r="B27" i="11"/>
  <c r="B95" i="11"/>
  <c r="P10" i="11"/>
  <c r="P29" i="11"/>
  <c r="G39" i="11"/>
  <c r="B99" i="11"/>
  <c r="Q10" i="11"/>
  <c r="P28" i="11"/>
  <c r="C47" i="11"/>
  <c r="D43" i="11"/>
  <c r="D39" i="11"/>
  <c r="L39" i="11"/>
  <c r="N110" i="11"/>
  <c r="B108" i="11"/>
  <c r="B110" i="11" s="1"/>
  <c r="E39" i="11"/>
  <c r="N51" i="11"/>
  <c r="N75" i="11" s="1"/>
  <c r="B47" i="11"/>
  <c r="B13" i="11"/>
  <c r="B24" i="11"/>
  <c r="Q72" i="11" l="1"/>
  <c r="P72" i="11"/>
  <c r="P84" i="11"/>
  <c r="C100" i="11"/>
  <c r="C101" i="11" s="1"/>
  <c r="C126" i="11" s="1"/>
  <c r="Q110" i="11"/>
  <c r="P110" i="11"/>
  <c r="O117" i="11"/>
  <c r="Q117" i="11" s="1"/>
  <c r="P125" i="11"/>
  <c r="Q84" i="11"/>
  <c r="O100" i="11"/>
  <c r="O101" i="11" s="1"/>
  <c r="P116" i="11"/>
  <c r="P117" i="11" s="1"/>
  <c r="Q75" i="11"/>
  <c r="P95" i="11"/>
  <c r="B100" i="11"/>
  <c r="Q51" i="11"/>
  <c r="P51" i="11"/>
  <c r="Q61" i="11"/>
  <c r="P61" i="11"/>
  <c r="N34" i="11"/>
  <c r="Q26" i="11"/>
  <c r="P26" i="11"/>
  <c r="E43" i="11"/>
  <c r="D47" i="11"/>
  <c r="D100" i="11" s="1"/>
  <c r="D101" i="11" s="1"/>
  <c r="D126" i="11" s="1"/>
  <c r="B26" i="11"/>
  <c r="B34" i="11" s="1"/>
  <c r="B39" i="11" s="1"/>
  <c r="B101" i="11" l="1"/>
  <c r="B126" i="11" s="1"/>
  <c r="O126" i="11"/>
  <c r="O128" i="11" s="1"/>
  <c r="P75" i="11"/>
  <c r="Q34" i="11"/>
  <c r="N39" i="11"/>
  <c r="F43" i="11"/>
  <c r="E47" i="11"/>
  <c r="E100" i="11" s="1"/>
  <c r="E101" i="11" s="1"/>
  <c r="E126" i="11" s="1"/>
  <c r="P39" i="11" l="1"/>
  <c r="Q39" i="11"/>
  <c r="G43" i="11"/>
  <c r="F47" i="11"/>
  <c r="F100" i="11" s="1"/>
  <c r="F101" i="11" s="1"/>
  <c r="F126" i="11" s="1"/>
  <c r="H43" i="11" l="1"/>
  <c r="G47" i="11"/>
  <c r="G100" i="11" s="1"/>
  <c r="G101" i="11" s="1"/>
  <c r="G126" i="11" s="1"/>
  <c r="I43" i="11" l="1"/>
  <c r="H47" i="11"/>
  <c r="H100" i="11" s="1"/>
  <c r="H101" i="11" s="1"/>
  <c r="H126" i="11" s="1"/>
  <c r="I47" i="11" l="1"/>
  <c r="I100" i="11" s="1"/>
  <c r="I101" i="11" s="1"/>
  <c r="I126" i="11" s="1"/>
  <c r="J43" i="11"/>
  <c r="K43" i="11" l="1"/>
  <c r="J47" i="11"/>
  <c r="J100" i="11" s="1"/>
  <c r="J101" i="11" s="1"/>
  <c r="J126" i="11" s="1"/>
  <c r="K47" i="11" l="1"/>
  <c r="K100" i="11" s="1"/>
  <c r="K101" i="11" s="1"/>
  <c r="K126" i="11" s="1"/>
  <c r="L43" i="11"/>
  <c r="L47" i="11" l="1"/>
  <c r="L100" i="11" s="1"/>
  <c r="L101" i="11" s="1"/>
  <c r="L126" i="11" s="1"/>
  <c r="M43" i="11"/>
  <c r="M47" i="11" l="1"/>
  <c r="M100" i="11" s="1"/>
  <c r="M101" i="11" s="1"/>
  <c r="M126" i="11" s="1"/>
  <c r="N43" i="11"/>
  <c r="N47" i="11" l="1"/>
  <c r="N100" i="11" s="1"/>
  <c r="P43" i="11"/>
  <c r="Q43" i="11"/>
  <c r="Q47" i="11" l="1"/>
  <c r="P47" i="11"/>
  <c r="N101" i="11"/>
  <c r="P100" i="11"/>
  <c r="Q100" i="11"/>
  <c r="E13" i="10"/>
  <c r="D18" i="10" s="1"/>
  <c r="D13" i="10"/>
  <c r="G8" i="10"/>
  <c r="G9" i="10"/>
  <c r="G11" i="10"/>
  <c r="G6" i="10"/>
  <c r="G12" i="10"/>
  <c r="G7" i="10"/>
  <c r="G10" i="10"/>
  <c r="F7" i="10"/>
  <c r="F8" i="10"/>
  <c r="F9" i="10"/>
  <c r="F11" i="10"/>
  <c r="F6" i="10"/>
  <c r="F12" i="10"/>
  <c r="F10" i="10"/>
  <c r="Q104" i="2"/>
  <c r="B54" i="1"/>
  <c r="B84" i="1"/>
  <c r="B88" i="1"/>
  <c r="B87" i="1"/>
  <c r="B117" i="1"/>
  <c r="B116" i="1"/>
  <c r="N107" i="1"/>
  <c r="B123" i="1"/>
  <c r="B124" i="1"/>
  <c r="B125" i="1"/>
  <c r="B126" i="1"/>
  <c r="B122" i="1"/>
  <c r="B99" i="1"/>
  <c r="B98" i="1"/>
  <c r="B93" i="1"/>
  <c r="B94" i="1"/>
  <c r="B92" i="1"/>
  <c r="N74" i="1"/>
  <c r="N73" i="1"/>
  <c r="N75" i="1"/>
  <c r="B71" i="1"/>
  <c r="B72" i="1"/>
  <c r="B70" i="1"/>
  <c r="B65" i="1"/>
  <c r="B66" i="1"/>
  <c r="B67" i="1"/>
  <c r="B68" i="1"/>
  <c r="B64" i="1"/>
  <c r="B33" i="1"/>
  <c r="B34" i="1"/>
  <c r="B32" i="1"/>
  <c r="C27" i="1"/>
  <c r="D27" i="1"/>
  <c r="E27" i="1"/>
  <c r="G27" i="1"/>
  <c r="H27" i="1"/>
  <c r="I27" i="1"/>
  <c r="J27" i="1"/>
  <c r="L27" i="1"/>
  <c r="M27" i="1"/>
  <c r="B23" i="1"/>
  <c r="B45" i="1"/>
  <c r="B13" i="9"/>
  <c r="B12" i="9"/>
  <c r="N126" i="11" l="1"/>
  <c r="P101" i="11"/>
  <c r="Q101" i="11"/>
  <c r="F13" i="10"/>
  <c r="G13" i="10"/>
  <c r="E15" i="10"/>
  <c r="E16" i="10" s="1"/>
  <c r="F14" i="10"/>
  <c r="X71" i="2"/>
  <c r="D131" i="2"/>
  <c r="E132" i="2"/>
  <c r="U20" i="2"/>
  <c r="F131" i="2"/>
  <c r="E131" i="2"/>
  <c r="F130" i="2"/>
  <c r="X117" i="2"/>
  <c r="X53" i="2"/>
  <c r="X104" i="2"/>
  <c r="X106" i="2"/>
  <c r="E144" i="2"/>
  <c r="G132" i="2"/>
  <c r="G131" i="2"/>
  <c r="G133" i="2" s="1"/>
  <c r="AG27" i="2"/>
  <c r="AG26" i="2"/>
  <c r="AG23" i="2"/>
  <c r="AG24" i="2"/>
  <c r="AG25" i="2"/>
  <c r="AE18" i="2"/>
  <c r="AF18" i="2"/>
  <c r="AG18" i="2"/>
  <c r="AG22" i="2"/>
  <c r="AC23" i="2"/>
  <c r="AC27" i="2" s="1"/>
  <c r="AC24" i="2"/>
  <c r="AC25" i="2"/>
  <c r="AC26" i="2"/>
  <c r="AD26" i="2"/>
  <c r="AD23" i="2"/>
  <c r="AD24" i="2"/>
  <c r="AD25" i="2"/>
  <c r="AD22" i="2"/>
  <c r="AC22" i="2"/>
  <c r="AB22" i="2"/>
  <c r="AB15" i="2"/>
  <c r="X23" i="2"/>
  <c r="X24" i="2"/>
  <c r="X25" i="2"/>
  <c r="X26" i="2"/>
  <c r="X22" i="2"/>
  <c r="X27" i="2" s="1"/>
  <c r="X28" i="2" s="1"/>
  <c r="X18" i="2"/>
  <c r="W23" i="2"/>
  <c r="W24" i="2"/>
  <c r="W25" i="2"/>
  <c r="W26" i="2"/>
  <c r="W22" i="2"/>
  <c r="W27" i="2" s="1"/>
  <c r="W17" i="2"/>
  <c r="W20" i="2" s="1"/>
  <c r="Q23" i="2"/>
  <c r="Q24" i="2"/>
  <c r="Q25" i="2"/>
  <c r="Q26" i="2"/>
  <c r="Q22" i="2"/>
  <c r="Q15" i="2"/>
  <c r="P23" i="2"/>
  <c r="P24" i="2"/>
  <c r="P25" i="2"/>
  <c r="P26" i="2"/>
  <c r="P22" i="2"/>
  <c r="P15" i="2"/>
  <c r="H28" i="2"/>
  <c r="J28" i="2"/>
  <c r="O28" i="2"/>
  <c r="R28" i="2"/>
  <c r="S28" i="2"/>
  <c r="T28" i="2"/>
  <c r="V28" i="2"/>
  <c r="F28" i="2"/>
  <c r="G27" i="2"/>
  <c r="G28" i="2" s="1"/>
  <c r="H27" i="2"/>
  <c r="I27" i="2"/>
  <c r="I28" i="2" s="1"/>
  <c r="J27" i="2"/>
  <c r="K27" i="2"/>
  <c r="K28" i="2" s="1"/>
  <c r="L27" i="2"/>
  <c r="L28" i="2" s="1"/>
  <c r="M27" i="2"/>
  <c r="M28" i="2" s="1"/>
  <c r="N27" i="2"/>
  <c r="N28" i="2" s="1"/>
  <c r="O27" i="2"/>
  <c r="R27" i="2"/>
  <c r="S27" i="2"/>
  <c r="T27" i="2"/>
  <c r="U27" i="2"/>
  <c r="V27" i="2"/>
  <c r="Y27" i="2"/>
  <c r="Z27" i="2"/>
  <c r="AA27" i="2"/>
  <c r="AB27" i="2"/>
  <c r="AE27" i="2"/>
  <c r="AF27" i="2"/>
  <c r="AF28" i="2" s="1"/>
  <c r="F27" i="2"/>
  <c r="F20" i="2"/>
  <c r="F23" i="2"/>
  <c r="F24" i="2"/>
  <c r="F25" i="2"/>
  <c r="F26" i="2"/>
  <c r="F22" i="2"/>
  <c r="D27" i="2"/>
  <c r="E27" i="2"/>
  <c r="C27" i="2"/>
  <c r="C20" i="2"/>
  <c r="J89" i="2"/>
  <c r="N48" i="1"/>
  <c r="B49" i="1"/>
  <c r="N47" i="1"/>
  <c r="C45" i="1"/>
  <c r="D45" i="1" s="1"/>
  <c r="D49" i="1" s="1"/>
  <c r="M120" i="2"/>
  <c r="N128" i="11" l="1"/>
  <c r="P126" i="11"/>
  <c r="P128" i="11" s="1"/>
  <c r="E45" i="1"/>
  <c r="C49" i="1"/>
  <c r="AD27" i="2"/>
  <c r="Q27" i="2"/>
  <c r="P27" i="2"/>
  <c r="B9" i="5"/>
  <c r="B11" i="5" s="1"/>
  <c r="B12" i="5" s="1"/>
  <c r="D3" i="8"/>
  <c r="C3" i="8"/>
  <c r="B62" i="1"/>
  <c r="B2" i="6"/>
  <c r="D3" i="5"/>
  <c r="D4" i="5"/>
  <c r="D5" i="5"/>
  <c r="D2" i="5"/>
  <c r="N38" i="1"/>
  <c r="N40" i="1" s="1"/>
  <c r="K21" i="3"/>
  <c r="K20" i="3"/>
  <c r="C62" i="2"/>
  <c r="D62" i="2"/>
  <c r="E62" i="2"/>
  <c r="E49" i="1" l="1"/>
  <c r="F45" i="1"/>
  <c r="E143" i="2"/>
  <c r="E142" i="2"/>
  <c r="C62" i="1"/>
  <c r="D62" i="1"/>
  <c r="E62" i="1"/>
  <c r="F62" i="1"/>
  <c r="G62" i="1"/>
  <c r="H62" i="1"/>
  <c r="I62" i="1"/>
  <c r="J62" i="1"/>
  <c r="K62" i="1"/>
  <c r="L62" i="1"/>
  <c r="M62" i="1"/>
  <c r="C52" i="1"/>
  <c r="D52" i="1"/>
  <c r="E52" i="1"/>
  <c r="F52" i="1"/>
  <c r="G52" i="1"/>
  <c r="H52" i="1"/>
  <c r="I52" i="1"/>
  <c r="J52" i="1"/>
  <c r="K52" i="1"/>
  <c r="L52" i="1"/>
  <c r="M52" i="1"/>
  <c r="B52" i="1"/>
  <c r="F49" i="1" l="1"/>
  <c r="G45" i="1"/>
  <c r="N52" i="1"/>
  <c r="N55" i="1"/>
  <c r="C127" i="1"/>
  <c r="D127" i="1"/>
  <c r="E127" i="1"/>
  <c r="F127" i="1"/>
  <c r="G127" i="1"/>
  <c r="H127" i="1"/>
  <c r="I127" i="1"/>
  <c r="J127" i="1"/>
  <c r="K127" i="1"/>
  <c r="L127" i="1"/>
  <c r="M127" i="1"/>
  <c r="B127" i="1"/>
  <c r="H45" i="1" l="1"/>
  <c r="G49" i="1"/>
  <c r="N121" i="1"/>
  <c r="N127" i="1" s="1"/>
  <c r="H49" i="1" l="1"/>
  <c r="I45" i="1"/>
  <c r="B106" i="1"/>
  <c r="B108" i="1"/>
  <c r="B110" i="1"/>
  <c r="F112" i="1"/>
  <c r="B105" i="1"/>
  <c r="K119" i="1"/>
  <c r="L119" i="1"/>
  <c r="M119" i="1"/>
  <c r="C112" i="1"/>
  <c r="D112" i="1"/>
  <c r="E112" i="1"/>
  <c r="G112" i="1"/>
  <c r="H112" i="1"/>
  <c r="I112" i="1"/>
  <c r="K112" i="1"/>
  <c r="L112" i="1"/>
  <c r="M112" i="1"/>
  <c r="J45" i="1" l="1"/>
  <c r="I49" i="1"/>
  <c r="C40" i="1"/>
  <c r="D40" i="1"/>
  <c r="E40" i="1"/>
  <c r="G40" i="1"/>
  <c r="H40" i="1"/>
  <c r="I40" i="1"/>
  <c r="J40" i="1"/>
  <c r="K40" i="1"/>
  <c r="L40" i="1"/>
  <c r="M40" i="1"/>
  <c r="F39" i="1"/>
  <c r="F40" i="1" s="1"/>
  <c r="B38" i="1"/>
  <c r="B40" i="1" s="1"/>
  <c r="C35" i="1"/>
  <c r="D35" i="1"/>
  <c r="E35" i="1"/>
  <c r="G35" i="1"/>
  <c r="H35" i="1"/>
  <c r="I35" i="1"/>
  <c r="L35" i="1"/>
  <c r="M35" i="1"/>
  <c r="J49" i="1" l="1"/>
  <c r="K45" i="1"/>
  <c r="E41" i="1"/>
  <c r="I41" i="1"/>
  <c r="D41" i="1"/>
  <c r="C41" i="1"/>
  <c r="M41" i="1"/>
  <c r="H41" i="1"/>
  <c r="G41" i="1"/>
  <c r="L41" i="1"/>
  <c r="K49" i="1" l="1"/>
  <c r="L45" i="1"/>
  <c r="E3" i="8"/>
  <c r="N111" i="1"/>
  <c r="J111" i="1" s="1"/>
  <c r="J112" i="1" s="1"/>
  <c r="N31" i="1"/>
  <c r="J31" i="1" s="1"/>
  <c r="J35" i="1" s="1"/>
  <c r="J41" i="1" s="1"/>
  <c r="H43" i="3"/>
  <c r="I43" i="3"/>
  <c r="N83" i="1"/>
  <c r="N82" i="1"/>
  <c r="B24" i="7"/>
  <c r="E139" i="2"/>
  <c r="E138" i="2"/>
  <c r="E137" i="2"/>
  <c r="B47" i="6"/>
  <c r="L49" i="1" l="1"/>
  <c r="M45" i="1"/>
  <c r="E140" i="2"/>
  <c r="N26" i="1" s="1"/>
  <c r="F26" i="1" s="1"/>
  <c r="F132" i="2"/>
  <c r="D130" i="2"/>
  <c r="C130" i="2"/>
  <c r="E129" i="2"/>
  <c r="F129" i="2" s="1"/>
  <c r="G129" i="2" s="1"/>
  <c r="F128" i="2"/>
  <c r="F27" i="1" l="1"/>
  <c r="F35" i="1" s="1"/>
  <c r="F41" i="1" s="1"/>
  <c r="M49" i="1"/>
  <c r="N45" i="1"/>
  <c r="G128" i="2"/>
  <c r="F133" i="2" l="1"/>
  <c r="N25" i="1" s="1"/>
  <c r="N46" i="1"/>
  <c r="N44" i="1"/>
  <c r="N49" i="1" s="1"/>
  <c r="B25" i="1" l="1"/>
  <c r="N109" i="1"/>
  <c r="B109" i="1" l="1"/>
  <c r="N118" i="1"/>
  <c r="N119" i="1" s="1"/>
  <c r="C100" i="1"/>
  <c r="D100" i="1"/>
  <c r="E100" i="1"/>
  <c r="F100" i="1"/>
  <c r="G100" i="1"/>
  <c r="H100" i="1"/>
  <c r="I100" i="1"/>
  <c r="J100" i="1"/>
  <c r="K100" i="1"/>
  <c r="L100" i="1"/>
  <c r="M100" i="1"/>
  <c r="N100" i="1"/>
  <c r="B100" i="1"/>
  <c r="C96" i="1" l="1"/>
  <c r="D96" i="1"/>
  <c r="E96" i="1"/>
  <c r="F96" i="1"/>
  <c r="G96" i="1"/>
  <c r="H96" i="1"/>
  <c r="I96" i="1"/>
  <c r="J96" i="1"/>
  <c r="K96" i="1"/>
  <c r="L96" i="1"/>
  <c r="M96" i="1"/>
  <c r="B96" i="1"/>
  <c r="N95" i="1"/>
  <c r="C85" i="1"/>
  <c r="D85" i="1"/>
  <c r="E85" i="1"/>
  <c r="F85" i="1"/>
  <c r="G85" i="1"/>
  <c r="H85" i="1"/>
  <c r="I85" i="1"/>
  <c r="J85" i="1"/>
  <c r="K85" i="1"/>
  <c r="L85" i="1"/>
  <c r="M85" i="1"/>
  <c r="B85" i="1"/>
  <c r="N81" i="1"/>
  <c r="N79" i="1"/>
  <c r="B69" i="1"/>
  <c r="K76" i="1"/>
  <c r="L76" i="1"/>
  <c r="M76" i="1"/>
  <c r="N59" i="1"/>
  <c r="B59" i="1" s="1"/>
  <c r="N58" i="1"/>
  <c r="B58" i="1" s="1"/>
  <c r="N51" i="1"/>
  <c r="N61" i="1"/>
  <c r="N57" i="1"/>
  <c r="N56" i="1"/>
  <c r="N54" i="1"/>
  <c r="N53" i="1"/>
  <c r="N85" i="1" l="1"/>
  <c r="K101" i="1"/>
  <c r="M101" i="1"/>
  <c r="M102" i="1" s="1"/>
  <c r="M128" i="1" s="1"/>
  <c r="L101" i="1"/>
  <c r="L102" i="1" s="1"/>
  <c r="L128" i="1" s="1"/>
  <c r="N62" i="1"/>
  <c r="AD115" i="2" l="1"/>
  <c r="AD100" i="2"/>
  <c r="AB115" i="2"/>
  <c r="AG110" i="2"/>
  <c r="AD91" i="2"/>
  <c r="AD83" i="2"/>
  <c r="AD75" i="2" l="1"/>
  <c r="AD67" i="2" l="1"/>
  <c r="AD57" i="2"/>
  <c r="AB56" i="2"/>
  <c r="AB57" i="2"/>
  <c r="AB58" i="2"/>
  <c r="AB59" i="2"/>
  <c r="AB60" i="2"/>
  <c r="AB55" i="2"/>
  <c r="AD49" i="2"/>
  <c r="AB52" i="2"/>
  <c r="AB48" i="2"/>
  <c r="AB49" i="2"/>
  <c r="AB50" i="2"/>
  <c r="AB51" i="2"/>
  <c r="AB47" i="2"/>
  <c r="AG16" i="2"/>
  <c r="AC19" i="2"/>
  <c r="Y117" i="2" l="1"/>
  <c r="Z117" i="2"/>
  <c r="AA117" i="2"/>
  <c r="Y112" i="2"/>
  <c r="Z112" i="2"/>
  <c r="AA112" i="2"/>
  <c r="Y104" i="2"/>
  <c r="Z104" i="2"/>
  <c r="AA104" i="2"/>
  <c r="Y79" i="2"/>
  <c r="Z79" i="2"/>
  <c r="AA79" i="2"/>
  <c r="Y95" i="2"/>
  <c r="Z95" i="2"/>
  <c r="AA95" i="2"/>
  <c r="Y87" i="2"/>
  <c r="Z87" i="2"/>
  <c r="AA87" i="2"/>
  <c r="Y71" i="2"/>
  <c r="Z71" i="2"/>
  <c r="AA71" i="2"/>
  <c r="Y61" i="2"/>
  <c r="Z61" i="2"/>
  <c r="AA61" i="2"/>
  <c r="AA53" i="2"/>
  <c r="Z53" i="2"/>
  <c r="Y45" i="2"/>
  <c r="Z45" i="2"/>
  <c r="AA45" i="2"/>
  <c r="Y36" i="2"/>
  <c r="Z36" i="2"/>
  <c r="AA36" i="2"/>
  <c r="Y20" i="2"/>
  <c r="Z20" i="2"/>
  <c r="AA20" i="2"/>
  <c r="Y13" i="2"/>
  <c r="Y28" i="2" s="1"/>
  <c r="Z13" i="2"/>
  <c r="Z28" i="2" s="1"/>
  <c r="AA13" i="2"/>
  <c r="AA28" i="2" s="1"/>
  <c r="AA96" i="2" l="1"/>
  <c r="Z96" i="2"/>
  <c r="Z62" i="2"/>
  <c r="AA62" i="2"/>
  <c r="Y96" i="2"/>
  <c r="X29" i="2"/>
  <c r="X38" i="2"/>
  <c r="X54" i="2"/>
  <c r="X72" i="2"/>
  <c r="X97" i="2"/>
  <c r="X105" i="2"/>
  <c r="X116" i="2"/>
  <c r="X118" i="2"/>
  <c r="X119" i="2"/>
  <c r="W116" i="2"/>
  <c r="X120" i="2" l="1"/>
  <c r="S120" i="2"/>
  <c r="T120" i="2"/>
  <c r="U120" i="2"/>
  <c r="V120" i="2"/>
  <c r="S117" i="2"/>
  <c r="T117" i="2"/>
  <c r="U117" i="2"/>
  <c r="V117" i="2"/>
  <c r="AB117" i="2"/>
  <c r="N17" i="1" s="1"/>
  <c r="B17" i="1" s="1"/>
  <c r="S112" i="2"/>
  <c r="T112" i="2"/>
  <c r="U112" i="2"/>
  <c r="V112" i="2"/>
  <c r="S104" i="2"/>
  <c r="T104" i="2"/>
  <c r="U104" i="2"/>
  <c r="V104" i="2"/>
  <c r="S95" i="2"/>
  <c r="T95" i="2"/>
  <c r="U95" i="2"/>
  <c r="V95" i="2"/>
  <c r="S87" i="2"/>
  <c r="T87" i="2"/>
  <c r="U87" i="2"/>
  <c r="V87" i="2"/>
  <c r="S79" i="2"/>
  <c r="T79" i="2"/>
  <c r="U79" i="2"/>
  <c r="V79" i="2"/>
  <c r="S71" i="2"/>
  <c r="T71" i="2"/>
  <c r="U71" i="2"/>
  <c r="V71" i="2"/>
  <c r="S61" i="2"/>
  <c r="T61" i="2"/>
  <c r="U61" i="2"/>
  <c r="V61" i="2"/>
  <c r="AB61" i="2"/>
  <c r="S53" i="2"/>
  <c r="T53" i="2"/>
  <c r="U53" i="2"/>
  <c r="V53" i="2"/>
  <c r="AB53" i="2"/>
  <c r="S45" i="2"/>
  <c r="T45" i="2"/>
  <c r="U45" i="2"/>
  <c r="V45" i="2"/>
  <c r="S36" i="2"/>
  <c r="T36" i="2"/>
  <c r="U36" i="2"/>
  <c r="V36" i="2"/>
  <c r="S20" i="2"/>
  <c r="V20" i="2"/>
  <c r="S13" i="2"/>
  <c r="T13" i="2"/>
  <c r="U13" i="2"/>
  <c r="U28" i="2" s="1"/>
  <c r="V13" i="2"/>
  <c r="T15" i="2"/>
  <c r="T20" i="2" s="1"/>
  <c r="V62" i="2" l="1"/>
  <c r="T62" i="2"/>
  <c r="S62" i="2"/>
  <c r="T96" i="2"/>
  <c r="U96" i="2"/>
  <c r="S96" i="2"/>
  <c r="V96" i="2"/>
  <c r="U62" i="2"/>
  <c r="S121" i="2" l="1"/>
  <c r="S123" i="2" s="1"/>
  <c r="S124" i="2" s="1"/>
  <c r="N24" i="1" s="1"/>
  <c r="K24" i="1" s="1"/>
  <c r="U121" i="2"/>
  <c r="V121" i="2"/>
  <c r="T121" i="2"/>
  <c r="P119" i="2"/>
  <c r="P120" i="2" s="1"/>
  <c r="P115" i="2"/>
  <c r="P117" i="2" s="1"/>
  <c r="P107" i="2"/>
  <c r="P108" i="2"/>
  <c r="P109" i="2"/>
  <c r="P110" i="2"/>
  <c r="P111" i="2"/>
  <c r="P106" i="2"/>
  <c r="G120" i="2"/>
  <c r="H120" i="2"/>
  <c r="I120" i="2"/>
  <c r="J120" i="2"/>
  <c r="K120" i="2"/>
  <c r="L120" i="2"/>
  <c r="N120" i="2"/>
  <c r="O120" i="2"/>
  <c r="R120" i="2"/>
  <c r="AE120" i="2"/>
  <c r="AF120" i="2"/>
  <c r="AG120" i="2"/>
  <c r="F120" i="2"/>
  <c r="G117" i="2"/>
  <c r="H117" i="2"/>
  <c r="I117" i="2"/>
  <c r="J117" i="2"/>
  <c r="K117" i="2"/>
  <c r="L117" i="2"/>
  <c r="M117" i="2"/>
  <c r="N117" i="2"/>
  <c r="O117" i="2"/>
  <c r="R117" i="2"/>
  <c r="AD117" i="2"/>
  <c r="AF117" i="2"/>
  <c r="G112" i="2"/>
  <c r="H112" i="2"/>
  <c r="I112" i="2"/>
  <c r="J112" i="2"/>
  <c r="K112" i="2"/>
  <c r="L112" i="2"/>
  <c r="M112" i="2"/>
  <c r="N112" i="2"/>
  <c r="O112" i="2"/>
  <c r="R112" i="2"/>
  <c r="G104" i="2"/>
  <c r="H104" i="2"/>
  <c r="I104" i="2"/>
  <c r="J104" i="2"/>
  <c r="K104" i="2"/>
  <c r="L104" i="2"/>
  <c r="M104" i="2"/>
  <c r="N104" i="2"/>
  <c r="O104" i="2"/>
  <c r="R104" i="2"/>
  <c r="G95" i="2"/>
  <c r="H95" i="2"/>
  <c r="I95" i="2"/>
  <c r="J95" i="2"/>
  <c r="K95" i="2"/>
  <c r="L95" i="2"/>
  <c r="M95" i="2"/>
  <c r="N95" i="2"/>
  <c r="O95" i="2"/>
  <c r="R95" i="2"/>
  <c r="AD95" i="2"/>
  <c r="G87" i="2"/>
  <c r="H87" i="2"/>
  <c r="I87" i="2"/>
  <c r="J87" i="2"/>
  <c r="K87" i="2"/>
  <c r="L87" i="2"/>
  <c r="M87" i="2"/>
  <c r="N87" i="2"/>
  <c r="O87" i="2"/>
  <c r="R87" i="2"/>
  <c r="G79" i="2"/>
  <c r="H79" i="2"/>
  <c r="I79" i="2"/>
  <c r="J79" i="2"/>
  <c r="K79" i="2"/>
  <c r="L79" i="2"/>
  <c r="M79" i="2"/>
  <c r="N79" i="2"/>
  <c r="O79" i="2"/>
  <c r="R79" i="2"/>
  <c r="G71" i="2"/>
  <c r="H71" i="2"/>
  <c r="I71" i="2"/>
  <c r="J71" i="2"/>
  <c r="K71" i="2"/>
  <c r="L71" i="2"/>
  <c r="M71" i="2"/>
  <c r="N71" i="2"/>
  <c r="O71" i="2"/>
  <c r="R71" i="2"/>
  <c r="G61" i="2"/>
  <c r="H61" i="2"/>
  <c r="I61" i="2"/>
  <c r="J61" i="2"/>
  <c r="K61" i="2"/>
  <c r="L61" i="2"/>
  <c r="M61" i="2"/>
  <c r="N61" i="2"/>
  <c r="O61" i="2"/>
  <c r="R61" i="2"/>
  <c r="G53" i="2"/>
  <c r="H53" i="2"/>
  <c r="I53" i="2"/>
  <c r="J53" i="2"/>
  <c r="K53" i="2"/>
  <c r="L53" i="2"/>
  <c r="M53" i="2"/>
  <c r="N53" i="2"/>
  <c r="O53" i="2"/>
  <c r="R53" i="2"/>
  <c r="G45" i="2"/>
  <c r="H45" i="2"/>
  <c r="I45" i="2"/>
  <c r="J45" i="2"/>
  <c r="K45" i="2"/>
  <c r="L45" i="2"/>
  <c r="M45" i="2"/>
  <c r="N45" i="2"/>
  <c r="O45" i="2"/>
  <c r="R45" i="2"/>
  <c r="G36" i="2"/>
  <c r="H36" i="2"/>
  <c r="I36" i="2"/>
  <c r="J36" i="2"/>
  <c r="K36" i="2"/>
  <c r="L36" i="2"/>
  <c r="M36" i="2"/>
  <c r="N36" i="2"/>
  <c r="O36" i="2"/>
  <c r="R36" i="2"/>
  <c r="G20" i="2"/>
  <c r="H20" i="2"/>
  <c r="I20" i="2"/>
  <c r="J20" i="2"/>
  <c r="K20" i="2"/>
  <c r="L20" i="2"/>
  <c r="M20" i="2"/>
  <c r="N20" i="2"/>
  <c r="O20" i="2"/>
  <c r="R20" i="2"/>
  <c r="G13" i="2"/>
  <c r="H13" i="2"/>
  <c r="I13" i="2"/>
  <c r="J13" i="2"/>
  <c r="K13" i="2"/>
  <c r="L13" i="2"/>
  <c r="M13" i="2"/>
  <c r="N13" i="2"/>
  <c r="O13" i="2"/>
  <c r="R13" i="2"/>
  <c r="AF13" i="2"/>
  <c r="F12" i="2"/>
  <c r="X12" i="2" s="1"/>
  <c r="P9" i="2"/>
  <c r="P10" i="2"/>
  <c r="P11" i="2"/>
  <c r="P12" i="2"/>
  <c r="P16" i="2"/>
  <c r="P17" i="2"/>
  <c r="P18" i="2"/>
  <c r="P19" i="2"/>
  <c r="P29" i="2"/>
  <c r="P30" i="2"/>
  <c r="P31" i="2"/>
  <c r="P32" i="2"/>
  <c r="P33" i="2"/>
  <c r="P34" i="2"/>
  <c r="P35" i="2"/>
  <c r="P38" i="2"/>
  <c r="Q38" i="2" s="1"/>
  <c r="P39" i="2"/>
  <c r="P40" i="2"/>
  <c r="P41" i="2"/>
  <c r="P42" i="2"/>
  <c r="P43" i="2"/>
  <c r="P44" i="2"/>
  <c r="P47" i="2"/>
  <c r="P48" i="2"/>
  <c r="P49" i="2"/>
  <c r="P50" i="2"/>
  <c r="P51" i="2"/>
  <c r="P52" i="2"/>
  <c r="P55" i="2"/>
  <c r="P56" i="2"/>
  <c r="P57" i="2"/>
  <c r="P58" i="2"/>
  <c r="P59" i="2"/>
  <c r="P60" i="2"/>
  <c r="P64" i="2"/>
  <c r="Q64" i="2" s="1"/>
  <c r="P65" i="2"/>
  <c r="P66" i="2"/>
  <c r="P67" i="2"/>
  <c r="P68" i="2"/>
  <c r="P69" i="2"/>
  <c r="P70" i="2"/>
  <c r="P73" i="2"/>
  <c r="P74" i="2"/>
  <c r="P75" i="2"/>
  <c r="P76" i="2"/>
  <c r="P77" i="2"/>
  <c r="P78" i="2"/>
  <c r="P81" i="2"/>
  <c r="P82" i="2"/>
  <c r="P83" i="2"/>
  <c r="P84" i="2"/>
  <c r="P85" i="2"/>
  <c r="P86" i="2"/>
  <c r="P89" i="2"/>
  <c r="P90" i="2"/>
  <c r="P91" i="2"/>
  <c r="P92" i="2"/>
  <c r="P93" i="2"/>
  <c r="P94" i="2"/>
  <c r="P98" i="2"/>
  <c r="P99" i="2"/>
  <c r="P100" i="2"/>
  <c r="P101" i="2"/>
  <c r="P102" i="2"/>
  <c r="P103" i="2"/>
  <c r="P8" i="2"/>
  <c r="F9" i="2"/>
  <c r="X9" i="2" s="1"/>
  <c r="F10" i="2"/>
  <c r="X10" i="2" s="1"/>
  <c r="F11" i="2"/>
  <c r="X11" i="2" s="1"/>
  <c r="F16" i="2"/>
  <c r="X16" i="2" s="1"/>
  <c r="F17" i="2"/>
  <c r="X17" i="2" s="1"/>
  <c r="AB17" i="2" s="1"/>
  <c r="F18" i="2"/>
  <c r="AB18" i="2" s="1"/>
  <c r="F19" i="2"/>
  <c r="X19" i="2" s="1"/>
  <c r="AB19" i="2" s="1"/>
  <c r="F30" i="2"/>
  <c r="X30" i="2" s="1"/>
  <c r="AB30" i="2" s="1"/>
  <c r="F31" i="2"/>
  <c r="X31" i="2" s="1"/>
  <c r="AB31" i="2" s="1"/>
  <c r="F32" i="2"/>
  <c r="X32" i="2" s="1"/>
  <c r="AB32" i="2" s="1"/>
  <c r="F33" i="2"/>
  <c r="X33" i="2" s="1"/>
  <c r="AB33" i="2" s="1"/>
  <c r="F34" i="2"/>
  <c r="X34" i="2" s="1"/>
  <c r="AB34" i="2" s="1"/>
  <c r="F35" i="2"/>
  <c r="X35" i="2" s="1"/>
  <c r="AB35" i="2" s="1"/>
  <c r="F39" i="2"/>
  <c r="F40" i="2"/>
  <c r="F41" i="2"/>
  <c r="F42" i="2"/>
  <c r="F43" i="2"/>
  <c r="F44" i="2"/>
  <c r="F47" i="2"/>
  <c r="X47" i="2" s="1"/>
  <c r="F48" i="2"/>
  <c r="F49" i="2"/>
  <c r="F50" i="2"/>
  <c r="F51" i="2"/>
  <c r="F52" i="2"/>
  <c r="F55" i="2"/>
  <c r="X55" i="2" s="1"/>
  <c r="F56" i="2"/>
  <c r="F57" i="2"/>
  <c r="F58" i="2"/>
  <c r="F59" i="2"/>
  <c r="F60" i="2"/>
  <c r="F65" i="2"/>
  <c r="X65" i="2" s="1"/>
  <c r="AB65" i="2" s="1"/>
  <c r="F66" i="2"/>
  <c r="X66" i="2" s="1"/>
  <c r="AB66" i="2" s="1"/>
  <c r="F67" i="2"/>
  <c r="X67" i="2" s="1"/>
  <c r="AB67" i="2" s="1"/>
  <c r="F68" i="2"/>
  <c r="X68" i="2" s="1"/>
  <c r="AB68" i="2" s="1"/>
  <c r="F69" i="2"/>
  <c r="X69" i="2" s="1"/>
  <c r="AB69" i="2" s="1"/>
  <c r="F70" i="2"/>
  <c r="X70" i="2" s="1"/>
  <c r="AB70" i="2" s="1"/>
  <c r="F73" i="2"/>
  <c r="X73" i="2" s="1"/>
  <c r="AB73" i="2" s="1"/>
  <c r="F74" i="2"/>
  <c r="X74" i="2" s="1"/>
  <c r="AB74" i="2" s="1"/>
  <c r="F75" i="2"/>
  <c r="X75" i="2" s="1"/>
  <c r="AB75" i="2" s="1"/>
  <c r="F76" i="2"/>
  <c r="X76" i="2" s="1"/>
  <c r="AB76" i="2" s="1"/>
  <c r="F77" i="2"/>
  <c r="X77" i="2" s="1"/>
  <c r="AB77" i="2" s="1"/>
  <c r="F78" i="2"/>
  <c r="X78" i="2" s="1"/>
  <c r="F82" i="2"/>
  <c r="X82" i="2" s="1"/>
  <c r="AB82" i="2" s="1"/>
  <c r="F83" i="2"/>
  <c r="X83" i="2" s="1"/>
  <c r="AB83" i="2" s="1"/>
  <c r="F84" i="2"/>
  <c r="X84" i="2" s="1"/>
  <c r="AB84" i="2" s="1"/>
  <c r="F85" i="2"/>
  <c r="X85" i="2" s="1"/>
  <c r="AB85" i="2" s="1"/>
  <c r="F86" i="2"/>
  <c r="X86" i="2" s="1"/>
  <c r="F90" i="2"/>
  <c r="X90" i="2" s="1"/>
  <c r="AB90" i="2" s="1"/>
  <c r="F91" i="2"/>
  <c r="X91" i="2" s="1"/>
  <c r="AB91" i="2" s="1"/>
  <c r="F92" i="2"/>
  <c r="F93" i="2"/>
  <c r="X93" i="2" s="1"/>
  <c r="AB93" i="2" s="1"/>
  <c r="F94" i="2"/>
  <c r="X94" i="2" s="1"/>
  <c r="AB94" i="2" s="1"/>
  <c r="F98" i="2"/>
  <c r="X98" i="2" s="1"/>
  <c r="AB98" i="2" s="1"/>
  <c r="F99" i="2"/>
  <c r="F100" i="2"/>
  <c r="X100" i="2" s="1"/>
  <c r="AB100" i="2" s="1"/>
  <c r="F101" i="2"/>
  <c r="X101" i="2" s="1"/>
  <c r="AB101" i="2" s="1"/>
  <c r="F102" i="2"/>
  <c r="X102" i="2" s="1"/>
  <c r="AB102" i="2" s="1"/>
  <c r="F103" i="2"/>
  <c r="F106" i="2"/>
  <c r="AB106" i="2" s="1"/>
  <c r="F107" i="2"/>
  <c r="X107" i="2" s="1"/>
  <c r="AB107" i="2" s="1"/>
  <c r="F108" i="2"/>
  <c r="X108" i="2" s="1"/>
  <c r="AB108" i="2" s="1"/>
  <c r="F109" i="2"/>
  <c r="X109" i="2" s="1"/>
  <c r="AB109" i="2" s="1"/>
  <c r="F110" i="2"/>
  <c r="X110" i="2" s="1"/>
  <c r="F111" i="2"/>
  <c r="X111" i="2" s="1"/>
  <c r="AB111" i="2" s="1"/>
  <c r="AG111" i="2" s="1"/>
  <c r="F115" i="2"/>
  <c r="F8" i="2"/>
  <c r="X8" i="2" s="1"/>
  <c r="AB8" i="2" s="1"/>
  <c r="D121" i="2"/>
  <c r="D112" i="2"/>
  <c r="C112" i="2"/>
  <c r="D71" i="2"/>
  <c r="C71" i="2"/>
  <c r="D20" i="2"/>
  <c r="C15" i="2"/>
  <c r="U125" i="2" l="1"/>
  <c r="AB79" i="2"/>
  <c r="AB112" i="2"/>
  <c r="N15" i="1" s="1"/>
  <c r="B15" i="1" s="1"/>
  <c r="AB71" i="2"/>
  <c r="AB36" i="2"/>
  <c r="N20" i="1" s="1"/>
  <c r="B20" i="1" s="1"/>
  <c r="AE10" i="2"/>
  <c r="AB10" i="2"/>
  <c r="AE9" i="2"/>
  <c r="AE13" i="2" s="1"/>
  <c r="AE28" i="2" s="1"/>
  <c r="AB9" i="2"/>
  <c r="AE11" i="2"/>
  <c r="AB11" i="2"/>
  <c r="F15" i="2"/>
  <c r="X36" i="2"/>
  <c r="Q73" i="2"/>
  <c r="W73" i="2" s="1"/>
  <c r="X112" i="2"/>
  <c r="Q57" i="2"/>
  <c r="W57" i="2" s="1"/>
  <c r="AC57" i="2" s="1"/>
  <c r="AG57" i="2" s="1"/>
  <c r="X57" i="2"/>
  <c r="Q51" i="2"/>
  <c r="W51" i="2" s="1"/>
  <c r="X51" i="2"/>
  <c r="Q41" i="2"/>
  <c r="W41" i="2" s="1"/>
  <c r="AC41" i="2" s="1"/>
  <c r="X41" i="2"/>
  <c r="AB41" i="2" s="1"/>
  <c r="Q99" i="2"/>
  <c r="W99" i="2" s="1"/>
  <c r="AC99" i="2" s="1"/>
  <c r="X99" i="2"/>
  <c r="AB99" i="2" s="1"/>
  <c r="Q60" i="2"/>
  <c r="W60" i="2" s="1"/>
  <c r="AC60" i="2" s="1"/>
  <c r="X60" i="2"/>
  <c r="Q50" i="2"/>
  <c r="W50" i="2" s="1"/>
  <c r="X50" i="2"/>
  <c r="X79" i="2"/>
  <c r="Q59" i="2"/>
  <c r="W59" i="2" s="1"/>
  <c r="X59" i="2"/>
  <c r="Q49" i="2"/>
  <c r="W49" i="2" s="1"/>
  <c r="AC49" i="2" s="1"/>
  <c r="AG49" i="2" s="1"/>
  <c r="X49" i="2"/>
  <c r="Q43" i="2"/>
  <c r="W43" i="2" s="1"/>
  <c r="AC43" i="2" s="1"/>
  <c r="X43" i="2"/>
  <c r="AB43" i="2" s="1"/>
  <c r="Q39" i="2"/>
  <c r="W39" i="2" s="1"/>
  <c r="X39" i="2"/>
  <c r="AB39" i="2" s="1"/>
  <c r="X13" i="2"/>
  <c r="Q103" i="2"/>
  <c r="W103" i="2" s="1"/>
  <c r="X103" i="2"/>
  <c r="AB103" i="2" s="1"/>
  <c r="AG103" i="2" s="1"/>
  <c r="Q92" i="2"/>
  <c r="W92" i="2" s="1"/>
  <c r="AC92" i="2" s="1"/>
  <c r="X92" i="2"/>
  <c r="AB92" i="2" s="1"/>
  <c r="Q56" i="2"/>
  <c r="W56" i="2" s="1"/>
  <c r="AC56" i="2" s="1"/>
  <c r="AG56" i="2" s="1"/>
  <c r="X56" i="2"/>
  <c r="Q44" i="2"/>
  <c r="W44" i="2" s="1"/>
  <c r="AC44" i="2" s="1"/>
  <c r="X44" i="2"/>
  <c r="AB44" i="2" s="1"/>
  <c r="Q40" i="2"/>
  <c r="W40" i="2" s="1"/>
  <c r="AC40" i="2" s="1"/>
  <c r="X40" i="2"/>
  <c r="AB40" i="2" s="1"/>
  <c r="F117" i="2"/>
  <c r="X115" i="2"/>
  <c r="Q58" i="2"/>
  <c r="W58" i="2" s="1"/>
  <c r="X58" i="2"/>
  <c r="Q52" i="2"/>
  <c r="W52" i="2" s="1"/>
  <c r="AC52" i="2" s="1"/>
  <c r="AG52" i="2" s="1"/>
  <c r="X52" i="2"/>
  <c r="Q48" i="2"/>
  <c r="W48" i="2" s="1"/>
  <c r="X48" i="2"/>
  <c r="Q42" i="2"/>
  <c r="W42" i="2" s="1"/>
  <c r="X42" i="2"/>
  <c r="AB42" i="2" s="1"/>
  <c r="Q101" i="2"/>
  <c r="W101" i="2" s="1"/>
  <c r="Q94" i="2"/>
  <c r="W94" i="2" s="1"/>
  <c r="AC94" i="2" s="1"/>
  <c r="AG94" i="2" s="1"/>
  <c r="Q90" i="2"/>
  <c r="W90" i="2" s="1"/>
  <c r="AC90" i="2" s="1"/>
  <c r="AG90" i="2" s="1"/>
  <c r="Q35" i="2"/>
  <c r="W35" i="2" s="1"/>
  <c r="AC35" i="2" s="1"/>
  <c r="AG35" i="2" s="1"/>
  <c r="Q109" i="2"/>
  <c r="W109" i="2" s="1"/>
  <c r="Q85" i="2"/>
  <c r="W85" i="2" s="1"/>
  <c r="Q78" i="2"/>
  <c r="W78" i="2" s="1"/>
  <c r="Q74" i="2"/>
  <c r="W74" i="2" s="1"/>
  <c r="AC74" i="2" s="1"/>
  <c r="AG74" i="2" s="1"/>
  <c r="Q68" i="2"/>
  <c r="W68" i="2" s="1"/>
  <c r="Q102" i="2"/>
  <c r="W102" i="2" s="1"/>
  <c r="AC102" i="2" s="1"/>
  <c r="AG102" i="2" s="1"/>
  <c r="Q98" i="2"/>
  <c r="W98" i="2" s="1"/>
  <c r="Q91" i="2"/>
  <c r="W91" i="2" s="1"/>
  <c r="AC91" i="2" s="1"/>
  <c r="AG91" i="2" s="1"/>
  <c r="Q84" i="2"/>
  <c r="W84" i="2" s="1"/>
  <c r="AC84" i="2" s="1"/>
  <c r="AG84" i="2" s="1"/>
  <c r="Q111" i="2"/>
  <c r="W111" i="2" s="1"/>
  <c r="Q108" i="2"/>
  <c r="W108" i="2" s="1"/>
  <c r="AC108" i="2" s="1"/>
  <c r="AG108" i="2" s="1"/>
  <c r="Q107" i="2"/>
  <c r="W107" i="2" s="1"/>
  <c r="AC107" i="2" s="1"/>
  <c r="AG107" i="2" s="1"/>
  <c r="Q66" i="2"/>
  <c r="W66" i="2" s="1"/>
  <c r="AC66" i="2" s="1"/>
  <c r="AG66" i="2" s="1"/>
  <c r="Q106" i="2"/>
  <c r="W106" i="2" s="1"/>
  <c r="Q75" i="2"/>
  <c r="W75" i="2" s="1"/>
  <c r="AC75" i="2" s="1"/>
  <c r="AG75" i="2" s="1"/>
  <c r="P36" i="2"/>
  <c r="Q77" i="2"/>
  <c r="W77" i="2" s="1"/>
  <c r="AC77" i="2" s="1"/>
  <c r="AG77" i="2" s="1"/>
  <c r="P45" i="2"/>
  <c r="H96" i="2"/>
  <c r="Q83" i="2"/>
  <c r="W83" i="2" s="1"/>
  <c r="AC83" i="2" s="1"/>
  <c r="AG83" i="2" s="1"/>
  <c r="Q76" i="2"/>
  <c r="W76" i="2" s="1"/>
  <c r="Q70" i="2"/>
  <c r="W70" i="2" s="1"/>
  <c r="Q100" i="2"/>
  <c r="W100" i="2" s="1"/>
  <c r="AC100" i="2" s="1"/>
  <c r="AG100" i="2" s="1"/>
  <c r="Q93" i="2"/>
  <c r="W93" i="2" s="1"/>
  <c r="Q86" i="2"/>
  <c r="W86" i="2" s="1"/>
  <c r="Q82" i="2"/>
  <c r="W82" i="2" s="1"/>
  <c r="Q69" i="2"/>
  <c r="W69" i="2" s="1"/>
  <c r="Q65" i="2"/>
  <c r="W65" i="2" s="1"/>
  <c r="Q110" i="2"/>
  <c r="W110" i="2" s="1"/>
  <c r="AF110" i="2" s="1"/>
  <c r="AF112" i="2" s="1"/>
  <c r="F71" i="2"/>
  <c r="K62" i="2"/>
  <c r="G62" i="2"/>
  <c r="L96" i="2"/>
  <c r="Q115" i="2"/>
  <c r="F13" i="2"/>
  <c r="Q55" i="2"/>
  <c r="P53" i="2"/>
  <c r="N62" i="2"/>
  <c r="J62" i="2"/>
  <c r="O96" i="2"/>
  <c r="K96" i="2"/>
  <c r="Q67" i="2"/>
  <c r="W67" i="2" s="1"/>
  <c r="W71" i="2" s="1"/>
  <c r="Q119" i="2"/>
  <c r="O62" i="2"/>
  <c r="Q47" i="2"/>
  <c r="W47" i="2" s="1"/>
  <c r="P104" i="2"/>
  <c r="P87" i="2"/>
  <c r="G96" i="2"/>
  <c r="P112" i="2"/>
  <c r="N96" i="2"/>
  <c r="F112" i="2"/>
  <c r="F53" i="2"/>
  <c r="P13" i="2"/>
  <c r="P71" i="2"/>
  <c r="P61" i="2"/>
  <c r="P28" i="2"/>
  <c r="R62" i="2"/>
  <c r="M62" i="2"/>
  <c r="I62" i="2"/>
  <c r="R96" i="2"/>
  <c r="M96" i="2"/>
  <c r="I96" i="2"/>
  <c r="F61" i="2"/>
  <c r="F62" i="2" s="1"/>
  <c r="F36" i="2"/>
  <c r="P95" i="2"/>
  <c r="J96" i="2"/>
  <c r="P79" i="2"/>
  <c r="L62" i="2"/>
  <c r="H62" i="2"/>
  <c r="Q34" i="2"/>
  <c r="W34" i="2" s="1"/>
  <c r="AC34" i="2" s="1"/>
  <c r="AG34" i="2" s="1"/>
  <c r="F104" i="2"/>
  <c r="F79" i="2"/>
  <c r="F45" i="2"/>
  <c r="Q8" i="2"/>
  <c r="W8" i="2" s="1"/>
  <c r="Q30" i="2"/>
  <c r="W30" i="2" s="1"/>
  <c r="Q19" i="2"/>
  <c r="Q16" i="2"/>
  <c r="W16" i="2" s="1"/>
  <c r="Q12" i="2"/>
  <c r="Q10" i="2"/>
  <c r="W10" i="2" s="1"/>
  <c r="AC10" i="2" s="1"/>
  <c r="Q32" i="2"/>
  <c r="W32" i="2" s="1"/>
  <c r="AC32" i="2" s="1"/>
  <c r="AG32" i="2" s="1"/>
  <c r="Q18" i="2"/>
  <c r="W18" i="2" s="1"/>
  <c r="Q11" i="2"/>
  <c r="W11" i="2" s="1"/>
  <c r="AC11" i="2" s="1"/>
  <c r="Q31" i="2"/>
  <c r="W31" i="2" s="1"/>
  <c r="AC31" i="2" s="1"/>
  <c r="AG31" i="2" s="1"/>
  <c r="Q17" i="2"/>
  <c r="AC17" i="2" s="1"/>
  <c r="AG17" i="2" s="1"/>
  <c r="Q33" i="2"/>
  <c r="W33" i="2" s="1"/>
  <c r="Q9" i="2"/>
  <c r="W9" i="2" s="1"/>
  <c r="AC9" i="2" s="1"/>
  <c r="D104" i="2"/>
  <c r="C104" i="2"/>
  <c r="D95" i="2"/>
  <c r="D87" i="2"/>
  <c r="D79" i="2"/>
  <c r="C79" i="2"/>
  <c r="D36" i="2"/>
  <c r="C89" i="2"/>
  <c r="C81" i="2"/>
  <c r="J23" i="3"/>
  <c r="C30" i="3"/>
  <c r="C28" i="3"/>
  <c r="J25" i="3"/>
  <c r="J26" i="3"/>
  <c r="J27" i="3"/>
  <c r="J28" i="3"/>
  <c r="J29" i="3"/>
  <c r="J30" i="3"/>
  <c r="J31" i="3"/>
  <c r="J24" i="3"/>
  <c r="J41" i="3"/>
  <c r="J40" i="3"/>
  <c r="J42" i="3" s="1"/>
  <c r="J37" i="3"/>
  <c r="J36" i="3"/>
  <c r="AC67" i="2" l="1"/>
  <c r="AG67" i="2" s="1"/>
  <c r="AB104" i="2"/>
  <c r="N14" i="1" s="1"/>
  <c r="AG44" i="2"/>
  <c r="AG41" i="2"/>
  <c r="AB13" i="2"/>
  <c r="AB28" i="2" s="1"/>
  <c r="N19" i="1" s="1"/>
  <c r="J38" i="3"/>
  <c r="AG92" i="2"/>
  <c r="AD106" i="2"/>
  <c r="AC106" i="2"/>
  <c r="AF59" i="2"/>
  <c r="AF61" i="2" s="1"/>
  <c r="AC59" i="2"/>
  <c r="AG59" i="2" s="1"/>
  <c r="AD73" i="2"/>
  <c r="AD79" i="2" s="1"/>
  <c r="AC73" i="2"/>
  <c r="AF20" i="2"/>
  <c r="AE20" i="2"/>
  <c r="AC18" i="2"/>
  <c r="AE42" i="2"/>
  <c r="AE45" i="2" s="1"/>
  <c r="AF42" i="2"/>
  <c r="AF45" i="2" s="1"/>
  <c r="AC42" i="2"/>
  <c r="AG42" i="2" s="1"/>
  <c r="AB45" i="2"/>
  <c r="AB62" i="2" s="1"/>
  <c r="N16" i="1" s="1"/>
  <c r="B16" i="1" s="1"/>
  <c r="AD65" i="2"/>
  <c r="AD71" i="2" s="1"/>
  <c r="AC65" i="2"/>
  <c r="AF93" i="2"/>
  <c r="AF95" i="2" s="1"/>
  <c r="AE93" i="2"/>
  <c r="AE95" i="2" s="1"/>
  <c r="AC93" i="2"/>
  <c r="AG93" i="2" s="1"/>
  <c r="AF76" i="2"/>
  <c r="AF79" i="2" s="1"/>
  <c r="AE76" i="2"/>
  <c r="AE79" i="2" s="1"/>
  <c r="AC76" i="2"/>
  <c r="AG76" i="2" s="1"/>
  <c r="AE85" i="2"/>
  <c r="AE87" i="2" s="1"/>
  <c r="AC85" i="2"/>
  <c r="AG85" i="2" s="1"/>
  <c r="AF85" i="2"/>
  <c r="AF87" i="2" s="1"/>
  <c r="AG40" i="2"/>
  <c r="AC39" i="2"/>
  <c r="AD39" i="2"/>
  <c r="AD45" i="2" s="1"/>
  <c r="AG99" i="2"/>
  <c r="AD47" i="2"/>
  <c r="AD53" i="2" s="1"/>
  <c r="AC47" i="2"/>
  <c r="AD82" i="2"/>
  <c r="AC82" i="2"/>
  <c r="AG82" i="2" s="1"/>
  <c r="AC33" i="2"/>
  <c r="AG33" i="2" s="1"/>
  <c r="AE33" i="2"/>
  <c r="AE36" i="2" s="1"/>
  <c r="AF33" i="2"/>
  <c r="AF36" i="2" s="1"/>
  <c r="AD98" i="2"/>
  <c r="AD104" i="2" s="1"/>
  <c r="AC98" i="2"/>
  <c r="AD30" i="2"/>
  <c r="AD36" i="2" s="1"/>
  <c r="AC30" i="2"/>
  <c r="AE69" i="2"/>
  <c r="AF69" i="2"/>
  <c r="AC69" i="2"/>
  <c r="AG69" i="2" s="1"/>
  <c r="AF68" i="2"/>
  <c r="AC68" i="2"/>
  <c r="AG68" i="2" s="1"/>
  <c r="AE68" i="2"/>
  <c r="AE109" i="2"/>
  <c r="AE112" i="2" s="1"/>
  <c r="AC109" i="2"/>
  <c r="AG109" i="2" s="1"/>
  <c r="AC101" i="2"/>
  <c r="AG101" i="2" s="1"/>
  <c r="AF101" i="2"/>
  <c r="AF104" i="2" s="1"/>
  <c r="AE101" i="2"/>
  <c r="AE104" i="2" s="1"/>
  <c r="Y48" i="2"/>
  <c r="Y53" i="2" s="1"/>
  <c r="Y62" i="2" s="1"/>
  <c r="AC48" i="2"/>
  <c r="AG48" i="2" s="1"/>
  <c r="AE58" i="2"/>
  <c r="AE61" i="2" s="1"/>
  <c r="AC58" i="2"/>
  <c r="AG58" i="2" s="1"/>
  <c r="AG43" i="2"/>
  <c r="AC50" i="2"/>
  <c r="AG50" i="2" s="1"/>
  <c r="AE50" i="2"/>
  <c r="AE53" i="2" s="1"/>
  <c r="AF51" i="2"/>
  <c r="AF53" i="2" s="1"/>
  <c r="AC51" i="2"/>
  <c r="AG51" i="2" s="1"/>
  <c r="X15" i="2"/>
  <c r="W15" i="2"/>
  <c r="W45" i="2"/>
  <c r="X61" i="2"/>
  <c r="Q45" i="2"/>
  <c r="W79" i="2"/>
  <c r="X45" i="2"/>
  <c r="Q53" i="2"/>
  <c r="W53" i="2"/>
  <c r="Q117" i="2"/>
  <c r="W115" i="2"/>
  <c r="W112" i="2"/>
  <c r="Q120" i="2"/>
  <c r="W119" i="2"/>
  <c r="Q61" i="2"/>
  <c r="W55" i="2"/>
  <c r="W104" i="2"/>
  <c r="W36" i="2"/>
  <c r="R121" i="2"/>
  <c r="G121" i="2"/>
  <c r="Q112" i="2"/>
  <c r="Q79" i="2"/>
  <c r="O121" i="2"/>
  <c r="H121" i="2"/>
  <c r="K121" i="2"/>
  <c r="Q71" i="2"/>
  <c r="L121" i="2"/>
  <c r="I121" i="2"/>
  <c r="N121" i="2"/>
  <c r="Q36" i="2"/>
  <c r="J121" i="2"/>
  <c r="Q13" i="2"/>
  <c r="P62" i="2"/>
  <c r="M121" i="2"/>
  <c r="P96" i="2"/>
  <c r="C87" i="2"/>
  <c r="F81" i="2"/>
  <c r="X81" i="2" s="1"/>
  <c r="X87" i="2" s="1"/>
  <c r="C95" i="2"/>
  <c r="F89" i="2"/>
  <c r="X89" i="2" s="1"/>
  <c r="J32" i="3"/>
  <c r="C7" i="3"/>
  <c r="J7" i="3" s="1"/>
  <c r="J8" i="3"/>
  <c r="B14" i="1" l="1"/>
  <c r="AF71" i="2"/>
  <c r="Q62" i="2"/>
  <c r="W61" i="2"/>
  <c r="W62" i="2" s="1"/>
  <c r="AC55" i="2"/>
  <c r="AD55" i="2"/>
  <c r="AD61" i="2" s="1"/>
  <c r="AD62" i="2" s="1"/>
  <c r="AD15" i="2"/>
  <c r="AD20" i="2" s="1"/>
  <c r="AC15" i="2"/>
  <c r="AC20" i="2" s="1"/>
  <c r="AF62" i="2"/>
  <c r="W120" i="2"/>
  <c r="AB119" i="2"/>
  <c r="AB120" i="2" s="1"/>
  <c r="N21" i="1" s="1"/>
  <c r="K21" i="1" s="1"/>
  <c r="AD119" i="2"/>
  <c r="AD120" i="2" s="1"/>
  <c r="AC119" i="2"/>
  <c r="AC120" i="2" s="1"/>
  <c r="W117" i="2"/>
  <c r="AC115" i="2"/>
  <c r="AE115" i="2"/>
  <c r="AE117" i="2" s="1"/>
  <c r="X20" i="2"/>
  <c r="AC71" i="2"/>
  <c r="AG65" i="2"/>
  <c r="AG71" i="2" s="1"/>
  <c r="AC79" i="2"/>
  <c r="AG73" i="2"/>
  <c r="AG79" i="2" s="1"/>
  <c r="AC112" i="2"/>
  <c r="AB81" i="2"/>
  <c r="AD8" i="2"/>
  <c r="AD13" i="2" s="1"/>
  <c r="AC8" i="2"/>
  <c r="AC36" i="2"/>
  <c r="AG30" i="2"/>
  <c r="AG36" i="2" s="1"/>
  <c r="AF96" i="2"/>
  <c r="X95" i="2"/>
  <c r="X96" i="2" s="1"/>
  <c r="AB89" i="2"/>
  <c r="AE62" i="2"/>
  <c r="AE71" i="2"/>
  <c r="AE96" i="2" s="1"/>
  <c r="AC104" i="2"/>
  <c r="AG98" i="2"/>
  <c r="AG104" i="2" s="1"/>
  <c r="AG47" i="2"/>
  <c r="AG53" i="2" s="1"/>
  <c r="AC53" i="2"/>
  <c r="AC45" i="2"/>
  <c r="AG39" i="2"/>
  <c r="AG45" i="2" s="1"/>
  <c r="AG106" i="2"/>
  <c r="AG112" i="2" s="1"/>
  <c r="AD112" i="2"/>
  <c r="X62" i="2"/>
  <c r="W13" i="2"/>
  <c r="W28" i="2" s="1"/>
  <c r="Q20" i="2"/>
  <c r="Q28" i="2" s="1"/>
  <c r="AG11" i="2"/>
  <c r="AG9" i="2"/>
  <c r="P121" i="2"/>
  <c r="AG10" i="2"/>
  <c r="F95" i="2"/>
  <c r="Q89" i="2"/>
  <c r="F87" i="2"/>
  <c r="Q81" i="2"/>
  <c r="J6" i="3"/>
  <c r="J5" i="3"/>
  <c r="J11" i="3"/>
  <c r="J34" i="3"/>
  <c r="J33" i="3"/>
  <c r="J35" i="3" s="1"/>
  <c r="K27" i="1" l="1"/>
  <c r="K35" i="1" s="1"/>
  <c r="K41" i="1" s="1"/>
  <c r="K102" i="1" s="1"/>
  <c r="K128" i="1" s="1"/>
  <c r="AD28" i="2"/>
  <c r="X63" i="2"/>
  <c r="AF121" i="2"/>
  <c r="N30" i="1" s="1"/>
  <c r="B30" i="1" s="1"/>
  <c r="J9" i="3"/>
  <c r="AE121" i="2"/>
  <c r="N29" i="1" s="1"/>
  <c r="AG55" i="2"/>
  <c r="AG61" i="2" s="1"/>
  <c r="AG62" i="2" s="1"/>
  <c r="AC61" i="2"/>
  <c r="AC62" i="2" s="1"/>
  <c r="AG115" i="2"/>
  <c r="AG117" i="2" s="1"/>
  <c r="AC117" i="2"/>
  <c r="AB95" i="2"/>
  <c r="AB87" i="2"/>
  <c r="AG15" i="2"/>
  <c r="AG20" i="2" s="1"/>
  <c r="AB20" i="2"/>
  <c r="X121" i="2"/>
  <c r="AG8" i="2"/>
  <c r="AG13" i="2" s="1"/>
  <c r="AG28" i="2" s="1"/>
  <c r="AC13" i="2"/>
  <c r="AC28" i="2" s="1"/>
  <c r="Q95" i="2"/>
  <c r="W89" i="2"/>
  <c r="Q87" i="2"/>
  <c r="W81" i="2"/>
  <c r="F96" i="2"/>
  <c r="F121" i="2" s="1"/>
  <c r="F123" i="2" s="1"/>
  <c r="K11" i="3"/>
  <c r="J12" i="3"/>
  <c r="J43" i="3" s="1"/>
  <c r="Y124" i="2" l="1"/>
  <c r="Y125" i="2" s="1"/>
  <c r="X123" i="2"/>
  <c r="X124" i="2" s="1"/>
  <c r="N63" i="1" s="1"/>
  <c r="N76" i="1" s="1"/>
  <c r="B29" i="1"/>
  <c r="AB96" i="2"/>
  <c r="N18" i="1" s="1"/>
  <c r="Q96" i="2"/>
  <c r="Q121" i="2" s="1"/>
  <c r="W95" i="2"/>
  <c r="AC89" i="2"/>
  <c r="B19" i="1"/>
  <c r="W87" i="2"/>
  <c r="AD81" i="2"/>
  <c r="AD87" i="2" s="1"/>
  <c r="AD96" i="2" s="1"/>
  <c r="AD121" i="2" s="1"/>
  <c r="N28" i="1" s="1"/>
  <c r="B28" i="1" s="1"/>
  <c r="AC81" i="2"/>
  <c r="J119" i="1"/>
  <c r="I119" i="1"/>
  <c r="H119" i="1"/>
  <c r="G119" i="1"/>
  <c r="F119" i="1"/>
  <c r="E119" i="1"/>
  <c r="D119" i="1"/>
  <c r="C119" i="1"/>
  <c r="B119" i="1"/>
  <c r="J76" i="1"/>
  <c r="I76" i="1"/>
  <c r="H76" i="1"/>
  <c r="G76" i="1"/>
  <c r="F76" i="1"/>
  <c r="E76" i="1"/>
  <c r="D76" i="1"/>
  <c r="C76" i="1"/>
  <c r="B18" i="1" l="1"/>
  <c r="B27" i="1" s="1"/>
  <c r="B35" i="1" s="1"/>
  <c r="B41" i="1" s="1"/>
  <c r="N27" i="1"/>
  <c r="Q123" i="2"/>
  <c r="U126" i="2"/>
  <c r="N11" i="1"/>
  <c r="AB121" i="2"/>
  <c r="Q124" i="2"/>
  <c r="W96" i="2"/>
  <c r="W121" i="2" s="1"/>
  <c r="AC87" i="2"/>
  <c r="AG81" i="2"/>
  <c r="AG87" i="2" s="1"/>
  <c r="AC95" i="2"/>
  <c r="AG89" i="2"/>
  <c r="AG95" i="2" s="1"/>
  <c r="E101" i="1"/>
  <c r="E102" i="1" s="1"/>
  <c r="E128" i="1" s="1"/>
  <c r="I101" i="1"/>
  <c r="I102" i="1" s="1"/>
  <c r="I128" i="1" s="1"/>
  <c r="F101" i="1"/>
  <c r="F102" i="1" s="1"/>
  <c r="F128" i="1" s="1"/>
  <c r="J101" i="1"/>
  <c r="J102" i="1" s="1"/>
  <c r="J128" i="1" s="1"/>
  <c r="C101" i="1"/>
  <c r="C102" i="1" s="1"/>
  <c r="C128" i="1" s="1"/>
  <c r="G101" i="1"/>
  <c r="G102" i="1" s="1"/>
  <c r="G128" i="1" s="1"/>
  <c r="D101" i="1"/>
  <c r="D102" i="1" s="1"/>
  <c r="D128" i="1" s="1"/>
  <c r="H101" i="1"/>
  <c r="H102" i="1" s="1"/>
  <c r="H128" i="1" s="1"/>
  <c r="N91" i="1" l="1"/>
  <c r="N96" i="1" s="1"/>
  <c r="N101" i="1" s="1"/>
  <c r="N35" i="1"/>
  <c r="N41" i="1" s="1"/>
  <c r="AG96" i="2"/>
  <c r="AG121" i="2" s="1"/>
  <c r="AC96" i="2"/>
  <c r="AC121" i="2" s="1"/>
  <c r="B76" i="1"/>
  <c r="B101" i="1" s="1"/>
  <c r="B102" i="1" s="1"/>
  <c r="B128" i="1" s="1"/>
  <c r="B112" i="1"/>
  <c r="N112" i="1"/>
  <c r="N102" i="1" l="1"/>
  <c r="N128" i="1" s="1"/>
  <c r="N130" i="1" s="1"/>
</calcChain>
</file>

<file path=xl/comments1.xml><?xml version="1.0" encoding="utf-8"?>
<comments xmlns="http://schemas.openxmlformats.org/spreadsheetml/2006/main">
  <authors>
    <author>USE</author>
  </authors>
  <commentList>
    <comment ref="C8" authorId="0" shapeId="0">
      <text>
        <r>
          <rPr>
            <b/>
            <sz val="9"/>
            <color indexed="81"/>
            <rFont val="Tahoma"/>
            <family val="2"/>
          </rPr>
          <t>USE:</t>
        </r>
        <r>
          <rPr>
            <sz val="9"/>
            <color indexed="81"/>
            <rFont val="Tahoma"/>
            <family val="2"/>
          </rPr>
          <t xml:space="preserve">
Minisante schlorship inclusive
</t>
        </r>
      </text>
    </comment>
    <comment ref="C98" authorId="0" shapeId="0">
      <text>
        <r>
          <rPr>
            <b/>
            <sz val="9"/>
            <color indexed="81"/>
            <rFont val="Tahoma"/>
            <family val="2"/>
          </rPr>
          <t>USE:</t>
        </r>
        <r>
          <rPr>
            <sz val="9"/>
            <color indexed="81"/>
            <rFont val="Tahoma"/>
            <family val="2"/>
          </rPr>
          <t xml:space="preserve">
one student who don't have full details</t>
        </r>
      </text>
    </comment>
    <comment ref="C100" authorId="0" shapeId="0">
      <text>
        <r>
          <rPr>
            <b/>
            <sz val="9"/>
            <color indexed="81"/>
            <rFont val="Tahoma"/>
            <family val="2"/>
          </rPr>
          <t>USE:</t>
        </r>
        <r>
          <rPr>
            <sz val="9"/>
            <color indexed="81"/>
            <rFont val="Tahoma"/>
            <family val="2"/>
          </rPr>
          <t xml:space="preserve">
There is 2 student who suspended their studies
</t>
        </r>
      </text>
    </comment>
  </commentList>
</comments>
</file>

<file path=xl/comments2.xml><?xml version="1.0" encoding="utf-8"?>
<comments xmlns="http://schemas.openxmlformats.org/spreadsheetml/2006/main">
  <authors>
    <author>USE</author>
  </authors>
  <commentList>
    <comment ref="C5" authorId="0" shapeId="0">
      <text>
        <r>
          <rPr>
            <b/>
            <sz val="9"/>
            <color indexed="81"/>
            <rFont val="Tahoma"/>
            <family val="2"/>
          </rPr>
          <t>USE:</t>
        </r>
        <r>
          <rPr>
            <sz val="9"/>
            <color indexed="81"/>
            <rFont val="Tahoma"/>
            <family val="2"/>
          </rPr>
          <t xml:space="preserve">
Minisante schlorship inclusive
</t>
        </r>
      </text>
    </comment>
    <comment ref="C33" authorId="0" shapeId="0">
      <text>
        <r>
          <rPr>
            <b/>
            <sz val="9"/>
            <color indexed="81"/>
            <rFont val="Tahoma"/>
            <family val="2"/>
          </rPr>
          <t>USE:</t>
        </r>
        <r>
          <rPr>
            <sz val="9"/>
            <color indexed="81"/>
            <rFont val="Tahoma"/>
            <family val="2"/>
          </rPr>
          <t xml:space="preserve">
one student who don't have full details</t>
        </r>
      </text>
    </comment>
    <comment ref="E33" authorId="0" shapeId="0">
      <text>
        <r>
          <rPr>
            <b/>
            <sz val="9"/>
            <color indexed="81"/>
            <rFont val="Tahoma"/>
            <family val="2"/>
          </rPr>
          <t>USE:</t>
        </r>
        <r>
          <rPr>
            <sz val="9"/>
            <color indexed="81"/>
            <rFont val="Tahoma"/>
            <family val="2"/>
          </rPr>
          <t xml:space="preserve">
There is 2 student who suspended their studies
</t>
        </r>
      </text>
    </comment>
  </commentList>
</comments>
</file>

<file path=xl/sharedStrings.xml><?xml version="1.0" encoding="utf-8"?>
<sst xmlns="http://schemas.openxmlformats.org/spreadsheetml/2006/main" count="702" uniqueCount="335">
  <si>
    <t>TOTAL</t>
  </si>
  <si>
    <t>Revenue</t>
  </si>
  <si>
    <t>Tuition Fees</t>
  </si>
  <si>
    <t>No of students</t>
  </si>
  <si>
    <t>Other Income</t>
  </si>
  <si>
    <t>Fines</t>
  </si>
  <si>
    <t>OPERATING EXPENSES</t>
  </si>
  <si>
    <t>Building Insurance</t>
  </si>
  <si>
    <t>Contribution in other Organism</t>
  </si>
  <si>
    <t>Bank Charges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</si>
  <si>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</si>
  <si>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</si>
  <si>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</si>
  <si>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</si>
  <si>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</si>
  <si>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</si>
  <si>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</si>
  <si>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</si>
  <si>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</si>
  <si>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</si>
  <si>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</si>
  <si>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</si>
  <si>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Graduands</t>
  </si>
  <si>
    <t>L8 S1&amp;2</t>
  </si>
  <si>
    <t>L8 S3&amp;4</t>
  </si>
  <si>
    <t>L8 S5&amp;6</t>
  </si>
  <si>
    <t>L8 S7&amp;8</t>
  </si>
  <si>
    <t>Day program</t>
  </si>
  <si>
    <t>Weekend Program</t>
  </si>
  <si>
    <t>Holiday program</t>
  </si>
  <si>
    <t>Department Biomedical Laboratory science</t>
  </si>
  <si>
    <t>Department of computer science</t>
  </si>
  <si>
    <t>Educational Management and planning</t>
  </si>
  <si>
    <t>Department of Science</t>
  </si>
  <si>
    <t>Department of art and social science</t>
  </si>
  <si>
    <t xml:space="preserve">Public Health </t>
  </si>
  <si>
    <t>Human Nutrition</t>
  </si>
  <si>
    <t>Nursing</t>
  </si>
  <si>
    <t>Midwifery</t>
  </si>
  <si>
    <t>2.Faculty of social work</t>
  </si>
  <si>
    <t>3.Faculty of Education</t>
  </si>
  <si>
    <t>4.Faculty of public health and Human Nutrition</t>
  </si>
  <si>
    <t>5. Faculty of Catechesis</t>
  </si>
  <si>
    <t>1.Faculty of science and technology</t>
  </si>
  <si>
    <t>6.Faculty of commerce</t>
  </si>
  <si>
    <t>Partime</t>
  </si>
  <si>
    <t>Total students</t>
  </si>
  <si>
    <t>7.Postgraduate students</t>
  </si>
  <si>
    <t>Huye campus</t>
  </si>
  <si>
    <t>Ngoma Learning center</t>
  </si>
  <si>
    <t>L9</t>
  </si>
  <si>
    <t>Grand total number of students</t>
  </si>
  <si>
    <t xml:space="preserve">Tuition fees </t>
  </si>
  <si>
    <t>Sponsored Student</t>
  </si>
  <si>
    <t>Minisante</t>
  </si>
  <si>
    <t>Chancen</t>
  </si>
  <si>
    <t>Application fees</t>
  </si>
  <si>
    <t>Total</t>
  </si>
  <si>
    <t>Private student</t>
  </si>
  <si>
    <t>Internship fees</t>
  </si>
  <si>
    <t>Final project fees</t>
  </si>
  <si>
    <t>1.1 Department Biomedical Laboratory science</t>
  </si>
  <si>
    <t>1.2 Department of computer science</t>
  </si>
  <si>
    <t>3.1 Educational Management and planning</t>
  </si>
  <si>
    <t>3.2 Department of art and social science</t>
  </si>
  <si>
    <t>3.3 Department of Science</t>
  </si>
  <si>
    <t>4.Faculty of Public Health and Human Nutrition</t>
  </si>
  <si>
    <t xml:space="preserve">4.1 Public Health </t>
  </si>
  <si>
    <t>4.2 Human Nutrition</t>
  </si>
  <si>
    <t>4.3 Nursing</t>
  </si>
  <si>
    <t>4.4Midwifery</t>
  </si>
  <si>
    <t>Holiday Program</t>
  </si>
  <si>
    <t>Projected New student</t>
  </si>
  <si>
    <t>Current Student</t>
  </si>
  <si>
    <t>Total Student Budgeted 2024-2025</t>
  </si>
  <si>
    <t>Total students in BLS</t>
  </si>
  <si>
    <t>Total Students in CS</t>
  </si>
  <si>
    <t>September 2024 Intake</t>
  </si>
  <si>
    <t>March 2025 Intake</t>
  </si>
  <si>
    <t>June 2025 Intake</t>
  </si>
  <si>
    <t xml:space="preserve">Total Projected </t>
  </si>
  <si>
    <t>Total Students PGDE</t>
  </si>
  <si>
    <t>7.1 PGDE</t>
  </si>
  <si>
    <t>7.2 Other Postgradute studies</t>
  </si>
  <si>
    <t>1.Total Students in faculty of Science and technology</t>
  </si>
  <si>
    <t>2.Total students Faculty of social work</t>
  </si>
  <si>
    <t>3. Total students in faculty of Education</t>
  </si>
  <si>
    <t>4. Total Faculty of public health and human nutrition</t>
  </si>
  <si>
    <t>Total students Faculty of Catechesis and Religious science</t>
  </si>
  <si>
    <t>Total students Faculty of commerce</t>
  </si>
  <si>
    <t>Total Other postgraduate studies</t>
  </si>
  <si>
    <t>YWCA</t>
  </si>
  <si>
    <t>Registration fees+Technology fees</t>
  </si>
  <si>
    <t xml:space="preserve">Existing </t>
  </si>
  <si>
    <t>Projected</t>
  </si>
  <si>
    <t>Existing private student</t>
  </si>
  <si>
    <t>Projected Private</t>
  </si>
  <si>
    <t>Sept int</t>
  </si>
  <si>
    <t>March In</t>
  </si>
  <si>
    <t>June int</t>
  </si>
  <si>
    <t>L9(ProposedTuition fees 1,800,000)</t>
  </si>
  <si>
    <t>Faculty of Catechesis and Religious Sciences</t>
  </si>
  <si>
    <t>Faculty of Commerce</t>
  </si>
  <si>
    <t>Faculty of Education -under graduates</t>
  </si>
  <si>
    <t>Faculty of Education -PGD- Taba campus-Kibungo Learning Center</t>
  </si>
  <si>
    <t>Faculty of Public Health and Human Nutrition</t>
  </si>
  <si>
    <t>Faculty  of Science and Technology</t>
  </si>
  <si>
    <t>Faculty of Social Work</t>
  </si>
  <si>
    <t>Chancen Student Tuition fees</t>
  </si>
  <si>
    <t>Ministry of health sponsored student</t>
  </si>
  <si>
    <t>Total Tuition fees</t>
  </si>
  <si>
    <t>Research supervision fees</t>
  </si>
  <si>
    <t>Graduation fees</t>
  </si>
  <si>
    <t>Retake fees</t>
  </si>
  <si>
    <t>Academic documents fees</t>
  </si>
  <si>
    <t>Expected  New Masters Program fees</t>
  </si>
  <si>
    <t>Budgeted Number of Students</t>
  </si>
  <si>
    <t>Administrative Cost</t>
  </si>
  <si>
    <t>Communication</t>
  </si>
  <si>
    <t xml:space="preserve">Security </t>
  </si>
  <si>
    <t xml:space="preserve">Medical insurance </t>
  </si>
  <si>
    <t xml:space="preserve">Carburant/fuel </t>
  </si>
  <si>
    <t>Postal Charge</t>
  </si>
  <si>
    <t>Supplies &amp; office materials</t>
  </si>
  <si>
    <t>Interneship Supervision fees</t>
  </si>
  <si>
    <t>Maintenainance and repair</t>
  </si>
  <si>
    <t>Marketing and Publicity</t>
  </si>
  <si>
    <t>Vehicle Insurance</t>
  </si>
  <si>
    <t>Mission Fees</t>
  </si>
  <si>
    <t>Kibungo L.Center rental cost.</t>
  </si>
  <si>
    <t>Unforseen expenses</t>
  </si>
  <si>
    <t>Total Admnistrative Cost</t>
  </si>
  <si>
    <t>Academic cost</t>
  </si>
  <si>
    <t>Research</t>
  </si>
  <si>
    <t>Seminars and conferences</t>
  </si>
  <si>
    <t>Designing and launching new programs</t>
  </si>
  <si>
    <t>Other academic activities (field visit,community services..)</t>
  </si>
  <si>
    <t>Total Academic Cost</t>
  </si>
  <si>
    <t>ICT COST</t>
  </si>
  <si>
    <t xml:space="preserve">Subscription to anti plagiarism software </t>
  </si>
  <si>
    <t>Maintenance of IT equipment</t>
  </si>
  <si>
    <t>Website hosting+Elearning platform hosting + MIS Hosting</t>
  </si>
  <si>
    <t>Supplying softwares(library&amp; registry)</t>
  </si>
  <si>
    <t>Subsription to online meeting software like webex, Ms team, Zoom</t>
  </si>
  <si>
    <t xml:space="preserve">Configuration of CUR Server room </t>
  </si>
  <si>
    <t>Annual Internet connection subscriptionn:(Taba and Save)</t>
  </si>
  <si>
    <t>Total ICT COST</t>
  </si>
  <si>
    <t>Finance Cost</t>
  </si>
  <si>
    <t>Cogebanque loan Interest</t>
  </si>
  <si>
    <t>Total finance cost</t>
  </si>
  <si>
    <t>TOTAL OPERATING EXPENSES(B)</t>
  </si>
  <si>
    <t>SURPLUS /DEFICIT FOR PERIOD(A-B)</t>
  </si>
  <si>
    <t>CASH FLOW</t>
  </si>
  <si>
    <t>CAPITAL EXPENDITURE</t>
  </si>
  <si>
    <t xml:space="preserve">Other Equipment </t>
  </si>
  <si>
    <t>Purchase of Additional books (Education and Nursing&amp;Midwifrey)</t>
  </si>
  <si>
    <t>Building &amp; Rehabilitation</t>
  </si>
  <si>
    <t>20% Security for Chancen student</t>
  </si>
  <si>
    <t>Refund of Toge caution</t>
  </si>
  <si>
    <t>Total Capital Expenditure</t>
  </si>
  <si>
    <t>Financing</t>
  </si>
  <si>
    <t>Fund Mobilised</t>
  </si>
  <si>
    <t>Owner contribution</t>
  </si>
  <si>
    <t xml:space="preserve"> Principal Loan repayment Cogebanque</t>
  </si>
  <si>
    <t>Total Financing</t>
  </si>
  <si>
    <t>Other arrear repayments</t>
  </si>
  <si>
    <t>Provision for Kayonga Yvette Case</t>
  </si>
  <si>
    <t>Case de solidaritte</t>
  </si>
  <si>
    <t>Other payables</t>
  </si>
  <si>
    <t>RSSB penalties</t>
  </si>
  <si>
    <t>RRA Penalties</t>
  </si>
  <si>
    <t>Total arrear repayments</t>
  </si>
  <si>
    <t xml:space="preserve">Free Cash Flow After Debt Paydown </t>
  </si>
  <si>
    <t>Opening Bank balance</t>
  </si>
  <si>
    <t>Cumulative FCF After Debt</t>
  </si>
  <si>
    <t>Staff Cost</t>
  </si>
  <si>
    <t>Full timeTeaching staff</t>
  </si>
  <si>
    <t>Part time teaching staff</t>
  </si>
  <si>
    <t>Administrative + Support staff</t>
  </si>
  <si>
    <t>CPA staff</t>
  </si>
  <si>
    <t>Total Staff Cost</t>
  </si>
  <si>
    <t xml:space="preserve">Water &amp; Electricity </t>
  </si>
  <si>
    <t>Marketing Agents Expenses fee</t>
  </si>
  <si>
    <t>Employees Capacity Building</t>
  </si>
  <si>
    <t>External Audit fee</t>
  </si>
  <si>
    <t>Laboratory Consumables</t>
  </si>
  <si>
    <t>Public Relation</t>
  </si>
  <si>
    <t>Panel fees</t>
  </si>
  <si>
    <t>Accueil et reception</t>
  </si>
  <si>
    <t>Kaspesky  (Antivirus )</t>
  </si>
  <si>
    <t>School gear fees</t>
  </si>
  <si>
    <t>Missio Invest Interest</t>
  </si>
  <si>
    <t xml:space="preserve"> Principal Loan repayment Missio Invest</t>
  </si>
  <si>
    <t>RIM Loan Payment Via Diocese</t>
  </si>
  <si>
    <t>Senior Lecturer</t>
  </si>
  <si>
    <t>Lecturer</t>
  </si>
  <si>
    <t>Ass Lecturer</t>
  </si>
  <si>
    <t>Tutorial Ass</t>
  </si>
  <si>
    <t>Proposed Salary structure</t>
  </si>
  <si>
    <t>Existing Sponsored</t>
  </si>
  <si>
    <t>Projected Sponsored</t>
  </si>
  <si>
    <t>CHANCEN DETAILS</t>
  </si>
  <si>
    <t>COHORT 2023A</t>
  </si>
  <si>
    <t>COHORT 2024A</t>
  </si>
  <si>
    <t>Total chancen existing</t>
  </si>
  <si>
    <t>100 students in March</t>
  </si>
  <si>
    <t>130 students in June</t>
  </si>
  <si>
    <t>Partnership fees</t>
  </si>
  <si>
    <t>Grand Total</t>
  </si>
  <si>
    <t>YWCA Details</t>
  </si>
  <si>
    <t>Computer Science</t>
  </si>
  <si>
    <t xml:space="preserve">Biomedical </t>
  </si>
  <si>
    <t>Rector</t>
  </si>
  <si>
    <t>Vice-Rector</t>
  </si>
  <si>
    <t>DAF</t>
  </si>
  <si>
    <t>DOQ</t>
  </si>
  <si>
    <t>Dean of FCRS</t>
  </si>
  <si>
    <t>Dean of FED</t>
  </si>
  <si>
    <t>Dean of FST</t>
  </si>
  <si>
    <t>Dean of FCOM</t>
  </si>
  <si>
    <t>Dean of FSW</t>
  </si>
  <si>
    <t>Dean of FPHHN</t>
  </si>
  <si>
    <t>Dean of students</t>
  </si>
  <si>
    <t>Academic Registrar</t>
  </si>
  <si>
    <t>Academic secretaries FCRS</t>
  </si>
  <si>
    <t>Academic secretaries FED</t>
  </si>
  <si>
    <t>Academic secretaries FST</t>
  </si>
  <si>
    <t>Academic secretaries FCOM</t>
  </si>
  <si>
    <t>Academic secretaries FSW</t>
  </si>
  <si>
    <t>Academic secretaries FPHHN</t>
  </si>
  <si>
    <t>Director of library</t>
  </si>
  <si>
    <t>Director of Research</t>
  </si>
  <si>
    <t>Director of ICT</t>
  </si>
  <si>
    <t>Director of Marketing</t>
  </si>
  <si>
    <t>HOD BLS</t>
  </si>
  <si>
    <t>HOD CS</t>
  </si>
  <si>
    <t>HOD Midwifery</t>
  </si>
  <si>
    <t>HOD Nursing</t>
  </si>
  <si>
    <t>HOD MAC</t>
  </si>
  <si>
    <t>HOD CENG</t>
  </si>
  <si>
    <t>HOD ED sc</t>
  </si>
  <si>
    <t>HOD ED Social science</t>
  </si>
  <si>
    <t>HOD ED Mgt&amp;plan</t>
  </si>
  <si>
    <t>HOD HN&amp;PH</t>
  </si>
  <si>
    <t>Chief Accountant</t>
  </si>
  <si>
    <t>Human Ressource</t>
  </si>
  <si>
    <t>RECOVERY OFFICE</t>
  </si>
  <si>
    <t>Assistant Registrar1</t>
  </si>
  <si>
    <t>Assistant Registrar 2</t>
  </si>
  <si>
    <t>Assistant Registrar3</t>
  </si>
  <si>
    <t>AssiStant VRAC</t>
  </si>
  <si>
    <t>Assitatnt RECTOR</t>
  </si>
  <si>
    <t>Accountant/Cashier</t>
  </si>
  <si>
    <t>Logistic</t>
  </si>
  <si>
    <t>Marketing Agent</t>
  </si>
  <si>
    <t>Driver 1</t>
  </si>
  <si>
    <t>Driver 2</t>
  </si>
  <si>
    <t>Communication fee Policy</t>
  </si>
  <si>
    <t xml:space="preserve">Accomodation fee </t>
  </si>
  <si>
    <t>Total academic cost</t>
  </si>
  <si>
    <t>Responsability allowance</t>
  </si>
  <si>
    <t>Responsibility allowance</t>
  </si>
  <si>
    <t>Graduation expenses</t>
  </si>
  <si>
    <t>Number of graduates</t>
  </si>
  <si>
    <t>Supervisor</t>
  </si>
  <si>
    <t>Panel members</t>
  </si>
  <si>
    <t>Total Income</t>
  </si>
  <si>
    <t>TOTAL REVENUE(A)</t>
  </si>
  <si>
    <t>Other Income(Different IURA Projects)</t>
  </si>
  <si>
    <t>new Computers</t>
  </si>
  <si>
    <t>Administrative+Academic staff 4% Arrears +Final project</t>
  </si>
  <si>
    <t>Rent ISR</t>
  </si>
  <si>
    <t>MINISANTE</t>
  </si>
  <si>
    <t>Nurs&amp;Mid</t>
  </si>
  <si>
    <t>HN&amp;BLS</t>
  </si>
  <si>
    <t>FCRS</t>
  </si>
  <si>
    <t>FPHHN</t>
  </si>
  <si>
    <t>FSW</t>
  </si>
  <si>
    <t>FST</t>
  </si>
  <si>
    <t>FED</t>
  </si>
  <si>
    <t>GENERAL TOTAL</t>
  </si>
  <si>
    <t>Total Existing</t>
  </si>
  <si>
    <t>Existing structure</t>
  </si>
  <si>
    <t>Proposed new structure</t>
  </si>
  <si>
    <t>Difference</t>
  </si>
  <si>
    <t>This change of increase of 5% of basic salary will have overall impact which the following:</t>
  </si>
  <si>
    <t>Total  staff cost will increase Monthly by:</t>
  </si>
  <si>
    <t>Academic staff</t>
  </si>
  <si>
    <t>Administratif staff</t>
  </si>
  <si>
    <t>Total Monthly Increase</t>
  </si>
  <si>
    <t>Total annual increase in staff</t>
  </si>
  <si>
    <t>Part-time</t>
  </si>
  <si>
    <t>FCOM</t>
  </si>
  <si>
    <t>Other payment(Consultancy fees)</t>
  </si>
  <si>
    <t>1.3 Food processing Department</t>
  </si>
  <si>
    <t>Total Students in FP</t>
  </si>
  <si>
    <t>Purchase Remaining Equipment for New laboratories and renovation of existing Laboratory</t>
  </si>
  <si>
    <t>Financial Budget  for Academic year 2024-2025</t>
  </si>
  <si>
    <t>Income in Details Number of students</t>
  </si>
  <si>
    <t>Budgeted number of students</t>
  </si>
  <si>
    <t>Budgeted</t>
  </si>
  <si>
    <t xml:space="preserve"> Execution</t>
  </si>
  <si>
    <t>FHS</t>
  </si>
  <si>
    <t>PGDE</t>
  </si>
  <si>
    <t>Variance</t>
  </si>
  <si>
    <t>% completion</t>
  </si>
  <si>
    <t>Rank</t>
  </si>
  <si>
    <t>Total University</t>
  </si>
  <si>
    <t>Exisiting</t>
  </si>
  <si>
    <t>% Increase in Number of student</t>
  </si>
  <si>
    <t>PROJECTS FEES</t>
  </si>
  <si>
    <t>Nishati Project</t>
  </si>
  <si>
    <t>Date</t>
  </si>
  <si>
    <t>Irrigation project</t>
  </si>
  <si>
    <t>27.02.2025</t>
  </si>
  <si>
    <t>Fun learning consultation</t>
  </si>
  <si>
    <t>27.08.2025</t>
  </si>
  <si>
    <t>1470.780686</t>
  </si>
  <si>
    <t>1678.868854</t>
  </si>
  <si>
    <t>Grant Income</t>
  </si>
  <si>
    <t>Total Other Income</t>
  </si>
  <si>
    <t>Hygiene and Sanitation</t>
  </si>
  <si>
    <t>Other Equipment (Chairs,cupboard,Printers,….)</t>
  </si>
  <si>
    <t>Income fromTuition fees</t>
  </si>
  <si>
    <t xml:space="preserve"> BUDGET EXECUTION 2024-2025</t>
  </si>
  <si>
    <t xml:space="preserve"> BUDGET 2024-2025</t>
  </si>
  <si>
    <t>% of realisation</t>
  </si>
  <si>
    <t>Prepaid Income+Escrow account Money</t>
  </si>
  <si>
    <t>Number of student at start of 2024-2025</t>
  </si>
  <si>
    <t>Number of student at end  of 2024-2025</t>
  </si>
  <si>
    <t>Increase in number of student at year end</t>
  </si>
  <si>
    <t>Number of students</t>
  </si>
  <si>
    <t>% Increase</t>
  </si>
  <si>
    <t>BUDGET EXECUTION FOR ACADEMIC YEAR 2024-2025</t>
  </si>
  <si>
    <t>PARTICULARS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</si>
</sst>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  <numFmt numFmtId="165" formatCode="0.0"/>
    <numFmt numFmtId="166" formatCode="#,##0_);[Red]\!\(#,##0\!\)"/>
    <numFmt numFmtId="167" formatCode="0.0%"/>
  </numFmts>
  <fonts count="3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</font>
    <font>
      <sz val="11"/>
      <name val="Calibri"/>
      <family val="2"/>
      <scheme val="minor"/>
    </font>
    <font>
      <b/>
      <u val="singleAccounting"/>
      <sz val="10"/>
      <color theme="1"/>
      <name val="Calibri"/>
      <family val="2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8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rgb="FFFF0000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rgb="FFFF0000"/>
      <name val="Calibri"/>
      <family val="2"/>
      <scheme val="minor"/>
    </font>
    <font>
      <b/>
      <u val="singleAccounting"/>
      <sz val="10"/>
      <color rgb="FFFF0000"/>
      <name val="Calibri"/>
      <family val="2"/>
    </font>
    <font>
      <b/>
      <sz val="12"/>
      <color rgb="FFFF0000"/>
      <name val="Times New Roman"/>
      <family val="1"/>
    </font>
    <font>
      <sz val="11"/>
      <color theme="1"/>
      <name val="Aptos"/>
      <family val="2"/>
    </font>
    <font>
      <b/>
      <sz val="11"/>
      <color theme="1"/>
      <name val="Aptos"/>
      <family val="2"/>
    </font>
    <font>
      <sz val="11"/>
      <color rgb="FF000000"/>
      <name val="Aptos"/>
      <family val="2"/>
    </font>
    <font>
      <b/>
      <sz val="11"/>
      <color rgb="FF000000"/>
      <name val="Aptos"/>
      <family val="2"/>
    </font>
    <font>
      <b/>
      <i/>
      <sz val="11"/>
      <color rgb="FF000000"/>
      <name val="Aptos"/>
      <family val="2"/>
    </font>
    <font>
      <b/>
      <u/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sz val="11"/>
      <color theme="1"/>
      <name val="Times New Roman"/>
      <family val="1"/>
    </font>
    <font>
      <i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name val="MS Sans Serif"/>
    </font>
    <font>
      <sz val="11"/>
      <name val="Times New Roman"/>
      <family val="1"/>
    </font>
    <font>
      <b/>
      <sz val="11"/>
      <name val="Times New Roman"/>
      <family val="1"/>
    </font>
    <font>
      <b/>
      <u/>
      <sz val="12"/>
      <color theme="1"/>
      <name val="Calibri"/>
      <family val="2"/>
      <scheme val="minor"/>
    </font>
    <font>
      <sz val="12"/>
      <color theme="1"/>
      <name val="Cambria"/>
      <family val="1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4.9989318521683403E-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9" fillId="0" borderId="0">
      <protection locked="0"/>
    </xf>
  </cellStyleXfs>
  <cellXfs count="260">
    <xf numFmtId="0" fontId="0" fillId="0" borderId="0" xfId="0"/>
    <xf numFmtId="0" fontId="2" fillId="0" borderId="0" xfId="0" applyFont="1"/>
    <xf numFmtId="9" fontId="0" fillId="0" borderId="0" xfId="2" applyFont="1"/>
    <xf numFmtId="0" fontId="4" fillId="0" borderId="0" xfId="0" applyFont="1"/>
    <xf numFmtId="0" fontId="0" fillId="2" borderId="0" xfId="0" applyFill="1"/>
    <xf numFmtId="164" fontId="0" fillId="2" borderId="0" xfId="0" applyNumberFormat="1" applyFill="1"/>
    <xf numFmtId="0" fontId="5" fillId="0" borderId="4" xfId="0" quotePrefix="1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4" borderId="0" xfId="0" applyFill="1"/>
    <xf numFmtId="164" fontId="2" fillId="5" borderId="3" xfId="1" applyNumberFormat="1" applyFont="1" applyFill="1" applyBorder="1" applyAlignment="1">
      <alignment vertical="center"/>
    </xf>
    <xf numFmtId="0" fontId="2" fillId="0" borderId="1" xfId="0" applyFont="1" applyBorder="1"/>
    <xf numFmtId="0" fontId="0" fillId="0" borderId="1" xfId="0" applyBorder="1"/>
    <xf numFmtId="164" fontId="0" fillId="0" borderId="1" xfId="1" applyNumberFormat="1" applyFont="1" applyBorder="1"/>
    <xf numFmtId="164" fontId="2" fillId="0" borderId="1" xfId="1" applyNumberFormat="1" applyFont="1" applyBorder="1"/>
    <xf numFmtId="0" fontId="13" fillId="0" borderId="1" xfId="0" applyFont="1" applyBorder="1"/>
    <xf numFmtId="164" fontId="14" fillId="0" borderId="1" xfId="1" applyNumberFormat="1" applyFont="1" applyBorder="1"/>
    <xf numFmtId="0" fontId="2" fillId="0" borderId="1" xfId="0" applyFont="1" applyBorder="1" applyAlignment="1">
      <alignment horizontal="center"/>
    </xf>
    <xf numFmtId="0" fontId="2" fillId="6" borderId="1" xfId="0" applyFont="1" applyFill="1" applyBorder="1"/>
    <xf numFmtId="0" fontId="0" fillId="7" borderId="1" xfId="0" applyFill="1" applyBorder="1"/>
    <xf numFmtId="0" fontId="2" fillId="7" borderId="1" xfId="0" applyFont="1" applyFill="1" applyBorder="1"/>
    <xf numFmtId="164" fontId="2" fillId="7" borderId="1" xfId="1" applyNumberFormat="1" applyFont="1" applyFill="1" applyBorder="1"/>
    <xf numFmtId="0" fontId="7" fillId="7" borderId="1" xfId="0" applyFont="1" applyFill="1" applyBorder="1" applyAlignment="1">
      <alignment horizontal="left" vertical="center"/>
    </xf>
    <xf numFmtId="164" fontId="12" fillId="0" borderId="1" xfId="1" applyNumberFormat="1" applyFont="1" applyBorder="1"/>
    <xf numFmtId="164" fontId="13" fillId="0" borderId="1" xfId="1" applyNumberFormat="1" applyFont="1" applyBorder="1"/>
    <xf numFmtId="164" fontId="0" fillId="7" borderId="1" xfId="1" applyNumberFormat="1" applyFont="1" applyFill="1" applyBorder="1"/>
    <xf numFmtId="164" fontId="2" fillId="6" borderId="1" xfId="1" applyNumberFormat="1" applyFont="1" applyFill="1" applyBorder="1"/>
    <xf numFmtId="0" fontId="6" fillId="0" borderId="1" xfId="0" applyFont="1" applyBorder="1" applyAlignment="1">
      <alignment vertical="center"/>
    </xf>
    <xf numFmtId="164" fontId="2" fillId="0" borderId="1" xfId="1" applyNumberFormat="1" applyFont="1" applyFill="1" applyBorder="1"/>
    <xf numFmtId="164" fontId="0" fillId="0" borderId="1" xfId="1" applyNumberFormat="1" applyFont="1" applyFill="1" applyBorder="1"/>
    <xf numFmtId="0" fontId="2" fillId="0" borderId="1" xfId="0" applyFont="1" applyBorder="1" applyAlignment="1">
      <alignment wrapText="1"/>
    </xf>
    <xf numFmtId="164" fontId="2" fillId="0" borderId="1" xfId="1" applyNumberFormat="1" applyFont="1" applyBorder="1" applyAlignment="1">
      <alignment horizontal="center"/>
    </xf>
    <xf numFmtId="164" fontId="6" fillId="0" borderId="1" xfId="1" applyNumberFormat="1" applyFont="1" applyBorder="1" applyAlignment="1">
      <alignment vertical="center"/>
    </xf>
    <xf numFmtId="164" fontId="7" fillId="0" borderId="1" xfId="1" applyNumberFormat="1" applyFont="1" applyFill="1" applyBorder="1" applyAlignment="1">
      <alignment horizontal="left" vertical="center"/>
    </xf>
    <xf numFmtId="164" fontId="6" fillId="0" borderId="1" xfId="1" applyNumberFormat="1" applyFont="1" applyFill="1" applyBorder="1" applyAlignment="1">
      <alignment vertical="center"/>
    </xf>
    <xf numFmtId="164" fontId="13" fillId="0" borderId="1" xfId="1" applyNumberFormat="1" applyFont="1" applyFill="1" applyBorder="1"/>
    <xf numFmtId="164" fontId="1" fillId="0" borderId="1" xfId="1" applyNumberFormat="1" applyFont="1" applyBorder="1"/>
    <xf numFmtId="0" fontId="0" fillId="8" borderId="1" xfId="0" applyFill="1" applyBorder="1" applyAlignment="1">
      <alignment horizontal="center"/>
    </xf>
    <xf numFmtId="164" fontId="2" fillId="8" borderId="1" xfId="1" applyNumberFormat="1" applyFont="1" applyFill="1" applyBorder="1"/>
    <xf numFmtId="0" fontId="2" fillId="8" borderId="0" xfId="0" applyFont="1" applyFill="1"/>
    <xf numFmtId="164" fontId="0" fillId="8" borderId="1" xfId="1" applyNumberFormat="1" applyFont="1" applyFill="1" applyBorder="1"/>
    <xf numFmtId="0" fontId="0" fillId="8" borderId="0" xfId="0" applyFill="1"/>
    <xf numFmtId="164" fontId="6" fillId="8" borderId="1" xfId="1" applyNumberFormat="1" applyFont="1" applyFill="1" applyBorder="1" applyAlignment="1">
      <alignment vertical="center"/>
    </xf>
    <xf numFmtId="164" fontId="0" fillId="8" borderId="0" xfId="1" applyNumberFormat="1" applyFont="1" applyFill="1"/>
    <xf numFmtId="164" fontId="12" fillId="8" borderId="1" xfId="1" applyNumberFormat="1" applyFont="1" applyFill="1" applyBorder="1"/>
    <xf numFmtId="164" fontId="13" fillId="8" borderId="1" xfId="1" applyNumberFormat="1" applyFont="1" applyFill="1" applyBorder="1"/>
    <xf numFmtId="0" fontId="2" fillId="9" borderId="1" xfId="0" applyFont="1" applyFill="1" applyBorder="1" applyAlignment="1">
      <alignment horizontal="center"/>
    </xf>
    <xf numFmtId="164" fontId="2" fillId="9" borderId="1" xfId="1" applyNumberFormat="1" applyFont="1" applyFill="1" applyBorder="1"/>
    <xf numFmtId="164" fontId="0" fillId="9" borderId="1" xfId="1" applyNumberFormat="1" applyFont="1" applyFill="1" applyBorder="1"/>
    <xf numFmtId="0" fontId="0" fillId="0" borderId="1" xfId="0" applyBorder="1" applyAlignment="1">
      <alignment horizontal="center"/>
    </xf>
    <xf numFmtId="0" fontId="2" fillId="9" borderId="1" xfId="0" applyFont="1" applyFill="1" applyBorder="1" applyAlignment="1">
      <alignment wrapText="1"/>
    </xf>
    <xf numFmtId="0" fontId="2" fillId="8" borderId="1" xfId="0" applyFont="1" applyFill="1" applyBorder="1" applyAlignment="1">
      <alignment wrapText="1"/>
    </xf>
    <xf numFmtId="164" fontId="12" fillId="6" borderId="1" xfId="1" applyNumberFormat="1" applyFont="1" applyFill="1" applyBorder="1"/>
    <xf numFmtId="164" fontId="0" fillId="6" borderId="1" xfId="1" applyNumberFormat="1" applyFont="1" applyFill="1" applyBorder="1"/>
    <xf numFmtId="164" fontId="2" fillId="6" borderId="0" xfId="1" applyNumberFormat="1" applyFont="1" applyFill="1" applyBorder="1"/>
    <xf numFmtId="164" fontId="2" fillId="6" borderId="7" xfId="1" applyNumberFormat="1" applyFont="1" applyFill="1" applyBorder="1"/>
    <xf numFmtId="164" fontId="2" fillId="0" borderId="0" xfId="1" applyNumberFormat="1" applyFont="1" applyFill="1" applyBorder="1"/>
    <xf numFmtId="164" fontId="2" fillId="10" borderId="1" xfId="1" applyNumberFormat="1" applyFont="1" applyFill="1" applyBorder="1" applyAlignment="1">
      <alignment horizontal="left"/>
    </xf>
    <xf numFmtId="164" fontId="2" fillId="10" borderId="1" xfId="1" applyNumberFormat="1" applyFont="1" applyFill="1" applyBorder="1"/>
    <xf numFmtId="164" fontId="13" fillId="10" borderId="1" xfId="1" applyNumberFormat="1" applyFont="1" applyFill="1" applyBorder="1"/>
    <xf numFmtId="164" fontId="14" fillId="10" borderId="1" xfId="1" applyNumberFormat="1" applyFont="1" applyFill="1" applyBorder="1"/>
    <xf numFmtId="164" fontId="0" fillId="8" borderId="1" xfId="1" applyNumberFormat="1" applyFont="1" applyFill="1" applyBorder="1" applyAlignment="1">
      <alignment wrapText="1"/>
    </xf>
    <xf numFmtId="0" fontId="15" fillId="0" borderId="0" xfId="0" applyFont="1"/>
    <xf numFmtId="164" fontId="15" fillId="8" borderId="1" xfId="1" applyNumberFormat="1" applyFont="1" applyFill="1" applyBorder="1"/>
    <xf numFmtId="164" fontId="15" fillId="9" borderId="1" xfId="1" applyNumberFormat="1" applyFont="1" applyFill="1" applyBorder="1"/>
    <xf numFmtId="164" fontId="12" fillId="9" borderId="1" xfId="1" applyNumberFormat="1" applyFont="1" applyFill="1" applyBorder="1"/>
    <xf numFmtId="164" fontId="15" fillId="0" borderId="1" xfId="1" applyNumberFormat="1" applyFont="1" applyBorder="1"/>
    <xf numFmtId="164" fontId="15" fillId="0" borderId="1" xfId="1" applyNumberFormat="1" applyFont="1" applyFill="1" applyBorder="1"/>
    <xf numFmtId="164" fontId="2" fillId="0" borderId="1" xfId="1" applyNumberFormat="1" applyFont="1" applyBorder="1" applyAlignment="1">
      <alignment horizontal="left" wrapText="1"/>
    </xf>
    <xf numFmtId="164" fontId="0" fillId="0" borderId="0" xfId="0" applyNumberFormat="1"/>
    <xf numFmtId="164" fontId="8" fillId="0" borderId="1" xfId="1" applyNumberFormat="1" applyFont="1" applyBorder="1"/>
    <xf numFmtId="164" fontId="4" fillId="8" borderId="1" xfId="1" applyNumberFormat="1" applyFont="1" applyFill="1" applyBorder="1"/>
    <xf numFmtId="164" fontId="8" fillId="8" borderId="1" xfId="1" applyNumberFormat="1" applyFont="1" applyFill="1" applyBorder="1"/>
    <xf numFmtId="164" fontId="4" fillId="9" borderId="1" xfId="1" applyNumberFormat="1" applyFont="1" applyFill="1" applyBorder="1"/>
    <xf numFmtId="164" fontId="8" fillId="9" borderId="1" xfId="1" applyNumberFormat="1" applyFont="1" applyFill="1" applyBorder="1"/>
    <xf numFmtId="164" fontId="4" fillId="0" borderId="1" xfId="1" applyNumberFormat="1" applyFont="1" applyBorder="1"/>
    <xf numFmtId="164" fontId="4" fillId="0" borderId="1" xfId="1" applyNumberFormat="1" applyFont="1" applyFill="1" applyBorder="1"/>
    <xf numFmtId="164" fontId="17" fillId="8" borderId="1" xfId="1" applyNumberFormat="1" applyFont="1" applyFill="1" applyBorder="1"/>
    <xf numFmtId="164" fontId="17" fillId="0" borderId="1" xfId="1" applyNumberFormat="1" applyFont="1" applyFill="1" applyBorder="1"/>
    <xf numFmtId="0" fontId="12" fillId="0" borderId="0" xfId="0" applyFont="1"/>
    <xf numFmtId="164" fontId="12" fillId="0" borderId="1" xfId="1" applyNumberFormat="1" applyFont="1" applyFill="1" applyBorder="1"/>
    <xf numFmtId="164" fontId="0" fillId="0" borderId="0" xfId="1" applyNumberFormat="1" applyFont="1" applyFill="1"/>
    <xf numFmtId="164" fontId="2" fillId="0" borderId="0" xfId="0" applyNumberFormat="1" applyFont="1"/>
    <xf numFmtId="0" fontId="0" fillId="4" borderId="5" xfId="0" applyFill="1" applyBorder="1"/>
    <xf numFmtId="0" fontId="5" fillId="0" borderId="3" xfId="0" applyFont="1" applyBorder="1" applyAlignment="1">
      <alignment horizontal="center" vertical="center"/>
    </xf>
    <xf numFmtId="164" fontId="3" fillId="0" borderId="3" xfId="1" applyNumberFormat="1" applyFont="1" applyBorder="1" applyAlignment="1">
      <alignment horizontal="center" vertical="center"/>
    </xf>
    <xf numFmtId="164" fontId="2" fillId="0" borderId="3" xfId="1" applyNumberFormat="1" applyFont="1" applyFill="1" applyBorder="1" applyAlignment="1">
      <alignment vertical="center"/>
    </xf>
    <xf numFmtId="164" fontId="1" fillId="0" borderId="0" xfId="1" applyNumberFormat="1" applyFont="1" applyFill="1" applyBorder="1"/>
    <xf numFmtId="164" fontId="0" fillId="0" borderId="0" xfId="1" applyNumberFormat="1" applyFont="1" applyFill="1" applyBorder="1"/>
    <xf numFmtId="164" fontId="2" fillId="0" borderId="0" xfId="1" applyNumberFormat="1" applyFont="1" applyFill="1" applyBorder="1" applyAlignment="1">
      <alignment vertical="center"/>
    </xf>
    <xf numFmtId="0" fontId="2" fillId="4" borderId="5" xfId="0" applyFont="1" applyFill="1" applyBorder="1"/>
    <xf numFmtId="0" fontId="2" fillId="4" borderId="0" xfId="0" applyFont="1" applyFill="1"/>
    <xf numFmtId="164" fontId="2" fillId="0" borderId="0" xfId="1" applyNumberFormat="1" applyFont="1" applyFill="1"/>
    <xf numFmtId="164" fontId="1" fillId="0" borderId="0" xfId="1" applyNumberFormat="1" applyFont="1" applyFill="1" applyBorder="1" applyAlignment="1">
      <alignment vertical="center"/>
    </xf>
    <xf numFmtId="164" fontId="1" fillId="0" borderId="3" xfId="1" applyNumberFormat="1" applyFont="1" applyFill="1" applyBorder="1"/>
    <xf numFmtId="164" fontId="2" fillId="0" borderId="3" xfId="1" applyNumberFormat="1" applyFont="1" applyFill="1" applyBorder="1"/>
    <xf numFmtId="43" fontId="0" fillId="0" borderId="0" xfId="0" applyNumberFormat="1"/>
    <xf numFmtId="164" fontId="1" fillId="12" borderId="3" xfId="1" applyNumberFormat="1" applyFont="1" applyFill="1" applyBorder="1"/>
    <xf numFmtId="164" fontId="0" fillId="0" borderId="0" xfId="1" applyNumberFormat="1" applyFont="1"/>
    <xf numFmtId="17" fontId="0" fillId="0" borderId="0" xfId="0" applyNumberFormat="1"/>
    <xf numFmtId="0" fontId="23" fillId="0" borderId="0" xfId="0" applyFont="1"/>
    <xf numFmtId="0" fontId="24" fillId="0" borderId="0" xfId="0" applyFont="1" applyAlignment="1">
      <alignment wrapText="1"/>
    </xf>
    <xf numFmtId="0" fontId="25" fillId="0" borderId="0" xfId="0" applyFont="1"/>
    <xf numFmtId="164" fontId="2" fillId="0" borderId="3" xfId="1" applyNumberFormat="1" applyFont="1" applyBorder="1"/>
    <xf numFmtId="164" fontId="2" fillId="0" borderId="0" xfId="1" applyNumberFormat="1" applyFont="1" applyBorder="1"/>
    <xf numFmtId="164" fontId="1" fillId="7" borderId="3" xfId="1" applyNumberFormat="1" applyFont="1" applyFill="1" applyBorder="1"/>
    <xf numFmtId="43" fontId="2" fillId="0" borderId="0" xfId="0" applyNumberFormat="1" applyFont="1"/>
    <xf numFmtId="164" fontId="2" fillId="0" borderId="0" xfId="1" applyNumberFormat="1" applyFont="1"/>
    <xf numFmtId="41" fontId="26" fillId="0" borderId="1" xfId="3" applyFont="1" applyBorder="1"/>
    <xf numFmtId="164" fontId="27" fillId="0" borderId="1" xfId="1" applyNumberFormat="1" applyFont="1" applyBorder="1"/>
    <xf numFmtId="41" fontId="27" fillId="0" borderId="1" xfId="0" applyNumberFormat="1" applyFont="1" applyBorder="1"/>
    <xf numFmtId="0" fontId="28" fillId="0" borderId="1" xfId="0" applyFont="1" applyBorder="1" applyAlignment="1">
      <alignment horizontal="left"/>
    </xf>
    <xf numFmtId="0" fontId="0" fillId="9" borderId="0" xfId="0" applyFill="1"/>
    <xf numFmtId="10" fontId="0" fillId="0" borderId="0" xfId="0" applyNumberFormat="1"/>
    <xf numFmtId="0" fontId="2" fillId="2" borderId="0" xfId="0" applyFont="1" applyFill="1" applyAlignment="1">
      <alignment wrapText="1"/>
    </xf>
    <xf numFmtId="0" fontId="0" fillId="0" borderId="0" xfId="0" applyAlignment="1">
      <alignment wrapText="1"/>
    </xf>
    <xf numFmtId="0" fontId="6" fillId="0" borderId="0" xfId="0" applyFont="1" applyAlignment="1">
      <alignment horizontal="left" wrapText="1"/>
    </xf>
    <xf numFmtId="0" fontId="7" fillId="0" borderId="3" xfId="0" applyFont="1" applyBorder="1" applyAlignment="1">
      <alignment horizontal="left" wrapText="1"/>
    </xf>
    <xf numFmtId="0" fontId="3" fillId="4" borderId="8" xfId="0" applyFont="1" applyFill="1" applyBorder="1" applyAlignment="1">
      <alignment horizontal="left" wrapText="1"/>
    </xf>
    <xf numFmtId="0" fontId="2" fillId="4" borderId="0" xfId="0" applyFont="1" applyFill="1" applyAlignment="1">
      <alignment horizontal="left" wrapText="1"/>
    </xf>
    <xf numFmtId="0" fontId="18" fillId="0" borderId="0" xfId="0" applyFont="1" applyAlignment="1">
      <alignment vertical="center" wrapText="1"/>
    </xf>
    <xf numFmtId="0" fontId="2" fillId="0" borderId="0" xfId="0" applyFont="1" applyAlignment="1">
      <alignment horizontal="left" wrapText="1"/>
    </xf>
    <xf numFmtId="0" fontId="20" fillId="0" borderId="0" xfId="0" applyFont="1" applyAlignment="1">
      <alignment vertical="center" wrapText="1"/>
    </xf>
    <xf numFmtId="0" fontId="19" fillId="0" borderId="3" xfId="0" applyFont="1" applyBorder="1" applyAlignment="1">
      <alignment vertical="center" wrapText="1"/>
    </xf>
    <xf numFmtId="0" fontId="19" fillId="0" borderId="0" xfId="0" applyFont="1" applyAlignment="1">
      <alignment vertical="center" wrapText="1"/>
    </xf>
    <xf numFmtId="0" fontId="4" fillId="0" borderId="0" xfId="0" applyFont="1" applyAlignment="1">
      <alignment wrapText="1"/>
    </xf>
    <xf numFmtId="0" fontId="8" fillId="0" borderId="3" xfId="0" applyFont="1" applyBorder="1" applyAlignment="1">
      <alignment wrapText="1"/>
    </xf>
    <xf numFmtId="0" fontId="2" fillId="5" borderId="2" xfId="0" applyFont="1" applyFill="1" applyBorder="1" applyAlignment="1">
      <alignment wrapText="1"/>
    </xf>
    <xf numFmtId="0" fontId="22" fillId="0" borderId="9" xfId="0" applyFont="1" applyBorder="1" applyAlignment="1">
      <alignment vertical="center" wrapText="1"/>
    </xf>
    <xf numFmtId="0" fontId="19" fillId="0" borderId="9" xfId="0" applyFont="1" applyBorder="1" applyAlignment="1">
      <alignment vertical="center" wrapText="1"/>
    </xf>
    <xf numFmtId="0" fontId="20" fillId="0" borderId="9" xfId="0" applyFont="1" applyBorder="1" applyAlignment="1">
      <alignment vertical="center" wrapText="1"/>
    </xf>
    <xf numFmtId="0" fontId="21" fillId="11" borderId="2" xfId="0" applyFont="1" applyFill="1" applyBorder="1" applyAlignment="1">
      <alignment vertical="center" wrapText="1"/>
    </xf>
    <xf numFmtId="0" fontId="21" fillId="0" borderId="9" xfId="0" applyFont="1" applyBorder="1" applyAlignment="1">
      <alignment vertical="center" wrapText="1"/>
    </xf>
    <xf numFmtId="0" fontId="18" fillId="0" borderId="9" xfId="0" applyFont="1" applyBorder="1" applyAlignment="1">
      <alignment vertical="center" wrapText="1"/>
    </xf>
    <xf numFmtId="0" fontId="22" fillId="0" borderId="2" xfId="0" applyFont="1" applyBorder="1" applyAlignment="1">
      <alignment vertical="center" wrapText="1"/>
    </xf>
    <xf numFmtId="0" fontId="21" fillId="0" borderId="2" xfId="0" applyFont="1" applyBorder="1" applyAlignment="1">
      <alignment vertical="center" wrapText="1"/>
    </xf>
    <xf numFmtId="0" fontId="18" fillId="0" borderId="9" xfId="0" applyFont="1" applyBorder="1" applyAlignment="1">
      <alignment wrapText="1"/>
    </xf>
    <xf numFmtId="49" fontId="19" fillId="0" borderId="2" xfId="0" applyNumberFormat="1" applyFont="1" applyBorder="1" applyAlignment="1">
      <alignment wrapText="1"/>
    </xf>
    <xf numFmtId="49" fontId="19" fillId="0" borderId="9" xfId="0" applyNumberFormat="1" applyFont="1" applyBorder="1" applyAlignment="1">
      <alignment wrapText="1"/>
    </xf>
    <xf numFmtId="0" fontId="19" fillId="0" borderId="2" xfId="0" applyFont="1" applyBorder="1" applyAlignment="1">
      <alignment vertical="center" wrapText="1"/>
    </xf>
    <xf numFmtId="0" fontId="19" fillId="6" borderId="8" xfId="0" applyFont="1" applyFill="1" applyBorder="1" applyAlignment="1">
      <alignment vertical="center" wrapText="1"/>
    </xf>
    <xf numFmtId="0" fontId="19" fillId="7" borderId="2" xfId="0" applyFont="1" applyFill="1" applyBorder="1" applyAlignment="1">
      <alignment vertical="center" wrapText="1"/>
    </xf>
    <xf numFmtId="49" fontId="18" fillId="0" borderId="9" xfId="0" applyNumberFormat="1" applyFont="1" applyBorder="1" applyAlignment="1">
      <alignment wrapText="1"/>
    </xf>
    <xf numFmtId="0" fontId="19" fillId="0" borderId="2" xfId="0" applyFont="1" applyBorder="1" applyAlignment="1">
      <alignment wrapText="1"/>
    </xf>
    <xf numFmtId="164" fontId="21" fillId="0" borderId="9" xfId="1" applyNumberFormat="1" applyFont="1" applyBorder="1" applyAlignment="1">
      <alignment vertical="center" wrapText="1"/>
    </xf>
    <xf numFmtId="164" fontId="20" fillId="0" borderId="9" xfId="1" applyNumberFormat="1" applyFont="1" applyBorder="1" applyAlignment="1">
      <alignment vertical="center" wrapText="1"/>
    </xf>
    <xf numFmtId="164" fontId="21" fillId="0" borderId="2" xfId="1" applyNumberFormat="1" applyFont="1" applyBorder="1" applyAlignment="1">
      <alignment vertical="center" wrapText="1"/>
    </xf>
    <xf numFmtId="164" fontId="20" fillId="0" borderId="9" xfId="1" applyNumberFormat="1" applyFont="1" applyFill="1" applyBorder="1" applyAlignment="1">
      <alignment vertical="center" wrapText="1"/>
    </xf>
    <xf numFmtId="0" fontId="0" fillId="0" borderId="9" xfId="0" applyBorder="1" applyAlignment="1">
      <alignment wrapText="1"/>
    </xf>
    <xf numFmtId="0" fontId="2" fillId="7" borderId="2" xfId="0" applyFont="1" applyFill="1" applyBorder="1" applyAlignment="1">
      <alignment wrapText="1"/>
    </xf>
    <xf numFmtId="0" fontId="2" fillId="6" borderId="2" xfId="0" applyFont="1" applyFill="1" applyBorder="1" applyAlignment="1">
      <alignment wrapText="1"/>
    </xf>
    <xf numFmtId="164" fontId="0" fillId="6" borderId="3" xfId="1" applyNumberFormat="1" applyFont="1" applyFill="1" applyBorder="1"/>
    <xf numFmtId="0" fontId="0" fillId="6" borderId="9" xfId="0" applyFill="1" applyBorder="1" applyAlignment="1">
      <alignment wrapText="1"/>
    </xf>
    <xf numFmtId="164" fontId="0" fillId="6" borderId="0" xfId="1" applyNumberFormat="1" applyFont="1" applyFill="1"/>
    <xf numFmtId="164" fontId="2" fillId="6" borderId="3" xfId="1" applyNumberFormat="1" applyFont="1" applyFill="1" applyBorder="1"/>
    <xf numFmtId="164" fontId="2" fillId="6" borderId="0" xfId="1" applyNumberFormat="1" applyFont="1" applyFill="1"/>
    <xf numFmtId="164" fontId="2" fillId="7" borderId="3" xfId="1" applyNumberFormat="1" applyFont="1" applyFill="1" applyBorder="1"/>
    <xf numFmtId="164" fontId="0" fillId="7" borderId="3" xfId="0" applyNumberFormat="1" applyFill="1" applyBorder="1"/>
    <xf numFmtId="164" fontId="21" fillId="11" borderId="2" xfId="1" applyNumberFormat="1" applyFont="1" applyFill="1" applyBorder="1" applyAlignment="1">
      <alignment vertical="center" wrapText="1"/>
    </xf>
    <xf numFmtId="0" fontId="5" fillId="3" borderId="0" xfId="0" applyFont="1" applyFill="1" applyAlignment="1">
      <alignment horizontal="center"/>
    </xf>
    <xf numFmtId="165" fontId="0" fillId="0" borderId="1" xfId="0" applyNumberFormat="1" applyBorder="1"/>
    <xf numFmtId="0" fontId="0" fillId="0" borderId="7" xfId="0" applyBorder="1"/>
    <xf numFmtId="0" fontId="3" fillId="0" borderId="1" xfId="0" quotePrefix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164" fontId="3" fillId="0" borderId="1" xfId="1" applyNumberFormat="1" applyFont="1" applyBorder="1" applyAlignment="1">
      <alignment horizontal="center" vertical="center"/>
    </xf>
    <xf numFmtId="164" fontId="0" fillId="0" borderId="1" xfId="0" applyNumberFormat="1" applyBorder="1"/>
    <xf numFmtId="9" fontId="0" fillId="0" borderId="1" xfId="2" applyFont="1" applyBorder="1"/>
    <xf numFmtId="0" fontId="2" fillId="4" borderId="10" xfId="0" applyFont="1" applyFill="1" applyBorder="1"/>
    <xf numFmtId="0" fontId="2" fillId="4" borderId="7" xfId="0" applyFont="1" applyFill="1" applyBorder="1"/>
    <xf numFmtId="164" fontId="2" fillId="0" borderId="7" xfId="1" applyNumberFormat="1" applyFont="1" applyBorder="1"/>
    <xf numFmtId="164" fontId="0" fillId="0" borderId="7" xfId="1" applyNumberFormat="1" applyFont="1" applyBorder="1"/>
    <xf numFmtId="164" fontId="30" fillId="0" borderId="7" xfId="1" applyNumberFormat="1" applyFont="1" applyBorder="1" applyProtection="1"/>
    <xf numFmtId="9" fontId="2" fillId="0" borderId="1" xfId="2" applyFont="1" applyBorder="1"/>
    <xf numFmtId="164" fontId="1" fillId="0" borderId="1" xfId="1" applyNumberFormat="1" applyFont="1" applyFill="1" applyBorder="1"/>
    <xf numFmtId="164" fontId="1" fillId="7" borderId="1" xfId="1" applyNumberFormat="1" applyFont="1" applyFill="1" applyBorder="1"/>
    <xf numFmtId="166" fontId="31" fillId="0" borderId="0" xfId="4" applyNumberFormat="1" applyFont="1" applyProtection="1"/>
    <xf numFmtId="164" fontId="1" fillId="0" borderId="7" xfId="1" applyNumberFormat="1" applyFont="1" applyBorder="1"/>
    <xf numFmtId="164" fontId="0" fillId="0" borderId="7" xfId="0" applyNumberFormat="1" applyBorder="1"/>
    <xf numFmtId="0" fontId="19" fillId="11" borderId="8" xfId="0" applyFont="1" applyFill="1" applyBorder="1" applyAlignment="1">
      <alignment vertical="center" wrapText="1"/>
    </xf>
    <xf numFmtId="164" fontId="1" fillId="11" borderId="3" xfId="1" applyNumberFormat="1" applyFont="1" applyFill="1" applyBorder="1"/>
    <xf numFmtId="164" fontId="1" fillId="11" borderId="1" xfId="1" applyNumberFormat="1" applyFont="1" applyFill="1" applyBorder="1"/>
    <xf numFmtId="164" fontId="0" fillId="11" borderId="1" xfId="1" applyNumberFormat="1" applyFont="1" applyFill="1" applyBorder="1"/>
    <xf numFmtId="0" fontId="0" fillId="6" borderId="2" xfId="0" applyFill="1" applyBorder="1" applyAlignment="1">
      <alignment wrapText="1"/>
    </xf>
    <xf numFmtId="0" fontId="0" fillId="0" borderId="2" xfId="0" applyBorder="1" applyAlignment="1">
      <alignment wrapText="1"/>
    </xf>
    <xf numFmtId="0" fontId="0" fillId="0" borderId="3" xfId="0" applyBorder="1"/>
    <xf numFmtId="164" fontId="1" fillId="0" borderId="7" xfId="1" applyNumberFormat="1" applyFont="1" applyFill="1" applyBorder="1"/>
    <xf numFmtId="164" fontId="2" fillId="0" borderId="7" xfId="1" applyNumberFormat="1" applyFont="1" applyFill="1" applyBorder="1"/>
    <xf numFmtId="164" fontId="2" fillId="0" borderId="7" xfId="1" applyNumberFormat="1" applyFont="1" applyFill="1" applyBorder="1" applyAlignment="1">
      <alignment vertical="center"/>
    </xf>
    <xf numFmtId="164" fontId="2" fillId="0" borderId="1" xfId="1" applyNumberFormat="1" applyFont="1" applyFill="1" applyBorder="1" applyAlignment="1">
      <alignment vertical="center"/>
    </xf>
    <xf numFmtId="9" fontId="0" fillId="0" borderId="7" xfId="2" applyFont="1" applyBorder="1"/>
    <xf numFmtId="9" fontId="0" fillId="11" borderId="1" xfId="2" applyFont="1" applyFill="1" applyBorder="1"/>
    <xf numFmtId="9" fontId="0" fillId="7" borderId="1" xfId="2" applyFont="1" applyFill="1" applyBorder="1"/>
    <xf numFmtId="9" fontId="2" fillId="0" borderId="1" xfId="2" applyFont="1" applyFill="1" applyBorder="1"/>
    <xf numFmtId="9" fontId="2" fillId="0" borderId="1" xfId="2" applyFont="1" applyFill="1" applyBorder="1" applyAlignment="1">
      <alignment vertical="center"/>
    </xf>
    <xf numFmtId="9" fontId="0" fillId="6" borderId="1" xfId="2" applyFont="1" applyFill="1" applyBorder="1"/>
    <xf numFmtId="167" fontId="2" fillId="7" borderId="1" xfId="2" applyNumberFormat="1" applyFont="1" applyFill="1" applyBorder="1"/>
    <xf numFmtId="0" fontId="2" fillId="0" borderId="0" xfId="0" applyFont="1" applyAlignment="1">
      <alignment wrapText="1"/>
    </xf>
    <xf numFmtId="0" fontId="32" fillId="0" borderId="0" xfId="0" applyFont="1" applyAlignment="1">
      <alignment horizontal="center" wrapText="1"/>
    </xf>
    <xf numFmtId="0" fontId="16" fillId="0" borderId="0" xfId="0" applyFont="1"/>
    <xf numFmtId="164" fontId="3" fillId="0" borderId="0" xfId="1" applyNumberFormat="1" applyFont="1" applyAlignment="1"/>
    <xf numFmtId="9" fontId="3" fillId="0" borderId="0" xfId="2" applyFont="1" applyAlignment="1"/>
    <xf numFmtId="0" fontId="0" fillId="2" borderId="0" xfId="0" applyFill="1" applyAlignment="1">
      <alignment wrapText="1"/>
    </xf>
    <xf numFmtId="9" fontId="1" fillId="0" borderId="0" xfId="2" applyFont="1"/>
    <xf numFmtId="0" fontId="23" fillId="0" borderId="0" xfId="0" applyFont="1" applyAlignment="1">
      <alignment horizontal="center"/>
    </xf>
    <xf numFmtId="0" fontId="23" fillId="0" borderId="0" xfId="0" applyFont="1" applyAlignment="1">
      <alignment horizontal="center" wrapText="1"/>
    </xf>
    <xf numFmtId="0" fontId="6" fillId="0" borderId="10" xfId="0" applyFont="1" applyBorder="1" applyAlignment="1">
      <alignment horizontal="left" wrapText="1"/>
    </xf>
    <xf numFmtId="0" fontId="2" fillId="0" borderId="11" xfId="0" applyFont="1" applyBorder="1" applyAlignment="1">
      <alignment wrapText="1"/>
    </xf>
    <xf numFmtId="0" fontId="7" fillId="0" borderId="2" xfId="0" applyFont="1" applyBorder="1" applyAlignment="1">
      <alignment horizontal="left" wrapText="1"/>
    </xf>
    <xf numFmtId="0" fontId="2" fillId="4" borderId="9" xfId="0" applyFont="1" applyFill="1" applyBorder="1" applyAlignment="1">
      <alignment horizontal="left" wrapText="1"/>
    </xf>
    <xf numFmtId="0" fontId="2" fillId="0" borderId="9" xfId="0" applyFont="1" applyBorder="1" applyAlignment="1">
      <alignment horizontal="left" wrapText="1"/>
    </xf>
    <xf numFmtId="0" fontId="4" fillId="0" borderId="9" xfId="0" applyFont="1" applyBorder="1" applyAlignment="1">
      <alignment wrapText="1"/>
    </xf>
    <xf numFmtId="0" fontId="22" fillId="0" borderId="12" xfId="0" applyFont="1" applyBorder="1" applyAlignment="1">
      <alignment vertical="center" wrapText="1"/>
    </xf>
    <xf numFmtId="164" fontId="1" fillId="0" borderId="4" xfId="1" applyNumberFormat="1" applyFont="1" applyFill="1" applyBorder="1"/>
    <xf numFmtId="164" fontId="2" fillId="0" borderId="11" xfId="1" applyNumberFormat="1" applyFont="1" applyBorder="1"/>
    <xf numFmtId="0" fontId="0" fillId="0" borderId="11" xfId="0" applyBorder="1"/>
    <xf numFmtId="0" fontId="20" fillId="0" borderId="8" xfId="0" applyFont="1" applyBorder="1" applyAlignment="1">
      <alignment vertical="center" wrapText="1"/>
    </xf>
    <xf numFmtId="164" fontId="1" fillId="0" borderId="5" xfId="1" applyNumberFormat="1" applyFont="1" applyFill="1" applyBorder="1"/>
    <xf numFmtId="0" fontId="0" fillId="0" borderId="0" xfId="0" applyAlignment="1">
      <alignment horizontal="center"/>
    </xf>
    <xf numFmtId="9" fontId="3" fillId="0" borderId="0" xfId="2" applyFont="1" applyAlignment="1">
      <alignment horizontal="center"/>
    </xf>
    <xf numFmtId="164" fontId="1" fillId="0" borderId="0" xfId="1" applyNumberFormat="1" applyFont="1" applyAlignment="1">
      <alignment horizontal="center"/>
    </xf>
    <xf numFmtId="164" fontId="3" fillId="0" borderId="0" xfId="1" applyNumberFormat="1" applyFont="1" applyAlignment="1">
      <alignment horizontal="center"/>
    </xf>
    <xf numFmtId="9" fontId="1" fillId="0" borderId="7" xfId="2" applyFont="1" applyBorder="1"/>
    <xf numFmtId="164" fontId="1" fillId="0" borderId="0" xfId="1" applyNumberFormat="1" applyFont="1" applyBorder="1"/>
    <xf numFmtId="164" fontId="21" fillId="0" borderId="2" xfId="1" applyNumberFormat="1" applyFont="1" applyFill="1" applyBorder="1" applyAlignment="1">
      <alignment vertical="center" wrapText="1"/>
    </xf>
    <xf numFmtId="164" fontId="21" fillId="0" borderId="1" xfId="1" applyNumberFormat="1" applyFont="1" applyFill="1" applyBorder="1" applyAlignment="1">
      <alignment vertical="center" wrapText="1"/>
    </xf>
    <xf numFmtId="9" fontId="21" fillId="0" borderId="1" xfId="2" applyFont="1" applyFill="1" applyBorder="1" applyAlignment="1">
      <alignment vertical="center" wrapText="1"/>
    </xf>
    <xf numFmtId="0" fontId="2" fillId="11" borderId="8" xfId="0" applyFont="1" applyFill="1" applyBorder="1" applyAlignment="1">
      <alignment wrapText="1"/>
    </xf>
    <xf numFmtId="164" fontId="2" fillId="11" borderId="5" xfId="1" applyNumberFormat="1" applyFont="1" applyFill="1" applyBorder="1" applyAlignment="1">
      <alignment vertical="center"/>
    </xf>
    <xf numFmtId="164" fontId="2" fillId="11" borderId="10" xfId="1" applyNumberFormat="1" applyFont="1" applyFill="1" applyBorder="1" applyAlignment="1">
      <alignment vertical="center"/>
    </xf>
    <xf numFmtId="9" fontId="2" fillId="11" borderId="10" xfId="2" applyFont="1" applyFill="1" applyBorder="1"/>
    <xf numFmtId="0" fontId="19" fillId="0" borderId="12" xfId="0" applyFont="1" applyBorder="1" applyAlignment="1">
      <alignment vertical="center" wrapText="1"/>
    </xf>
    <xf numFmtId="164" fontId="2" fillId="0" borderId="4" xfId="1" applyNumberFormat="1" applyFont="1" applyBorder="1"/>
    <xf numFmtId="9" fontId="2" fillId="0" borderId="11" xfId="2" applyFont="1" applyBorder="1"/>
    <xf numFmtId="0" fontId="2" fillId="0" borderId="12" xfId="0" applyFont="1" applyBorder="1" applyAlignment="1">
      <alignment horizontal="left" wrapText="1"/>
    </xf>
    <xf numFmtId="0" fontId="0" fillId="0" borderId="4" xfId="0" applyBorder="1"/>
    <xf numFmtId="164" fontId="2" fillId="0" borderId="13" xfId="1" applyNumberFormat="1" applyFont="1" applyBorder="1"/>
    <xf numFmtId="164" fontId="1" fillId="0" borderId="7" xfId="1" applyNumberFormat="1" applyFont="1" applyFill="1" applyBorder="1" applyAlignment="1">
      <alignment vertical="center"/>
    </xf>
    <xf numFmtId="166" fontId="30" fillId="0" borderId="7" xfId="1" applyNumberFormat="1" applyFont="1" applyBorder="1" applyAlignment="1" applyProtection="1">
      <alignment horizontal="right"/>
    </xf>
    <xf numFmtId="164" fontId="1" fillId="0" borderId="10" xfId="1" applyNumberFormat="1" applyFont="1" applyFill="1" applyBorder="1"/>
    <xf numFmtId="164" fontId="0" fillId="0" borderId="10" xfId="0" applyNumberFormat="1" applyBorder="1"/>
    <xf numFmtId="164" fontId="1" fillId="0" borderId="10" xfId="1" applyNumberFormat="1" applyFont="1" applyBorder="1"/>
    <xf numFmtId="9" fontId="1" fillId="0" borderId="10" xfId="2" applyFont="1" applyBorder="1"/>
    <xf numFmtId="0" fontId="33" fillId="0" borderId="0" xfId="0" applyFont="1"/>
    <xf numFmtId="0" fontId="5" fillId="3" borderId="0" xfId="0" applyFont="1" applyFill="1" applyAlignment="1">
      <alignment horizontal="center"/>
    </xf>
    <xf numFmtId="0" fontId="16" fillId="0" borderId="0" xfId="0" applyFont="1" applyAlignment="1">
      <alignment horizontal="center"/>
    </xf>
    <xf numFmtId="0" fontId="32" fillId="0" borderId="0" xfId="0" applyFont="1" applyAlignment="1">
      <alignment horizontal="center" wrapText="1"/>
    </xf>
    <xf numFmtId="164" fontId="2" fillId="0" borderId="2" xfId="1" applyNumberFormat="1" applyFont="1" applyBorder="1" applyAlignment="1">
      <alignment horizontal="center" wrapText="1"/>
    </xf>
    <xf numFmtId="164" fontId="2" fillId="0" borderId="3" xfId="1" applyNumberFormat="1" applyFont="1" applyBorder="1" applyAlignment="1">
      <alignment horizontal="center" wrapText="1"/>
    </xf>
    <xf numFmtId="164" fontId="2" fillId="0" borderId="6" xfId="1" applyNumberFormat="1" applyFont="1" applyBorder="1" applyAlignment="1">
      <alignment horizontal="center" wrapText="1"/>
    </xf>
    <xf numFmtId="0" fontId="2" fillId="0" borderId="1" xfId="0" applyFont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2" fillId="9" borderId="2" xfId="0" applyFont="1" applyFill="1" applyBorder="1" applyAlignment="1">
      <alignment horizontal="center"/>
    </xf>
    <xf numFmtId="0" fontId="2" fillId="9" borderId="3" xfId="0" applyFont="1" applyFill="1" applyBorder="1" applyAlignment="1">
      <alignment horizontal="center"/>
    </xf>
    <xf numFmtId="0" fontId="2" fillId="9" borderId="6" xfId="0" applyFont="1" applyFill="1" applyBorder="1" applyAlignment="1">
      <alignment horizontal="center"/>
    </xf>
    <xf numFmtId="0" fontId="2" fillId="9" borderId="2" xfId="0" applyFont="1" applyFill="1" applyBorder="1" applyAlignment="1">
      <alignment horizontal="left"/>
    </xf>
    <xf numFmtId="0" fontId="2" fillId="9" borderId="3" xfId="0" applyFont="1" applyFill="1" applyBorder="1" applyAlignment="1">
      <alignment horizontal="left"/>
    </xf>
    <xf numFmtId="0" fontId="2" fillId="9" borderId="6" xfId="0" applyFont="1" applyFill="1" applyBorder="1" applyAlignment="1">
      <alignment horizontal="left"/>
    </xf>
    <xf numFmtId="164" fontId="2" fillId="0" borderId="1" xfId="1" applyNumberFormat="1" applyFont="1" applyBorder="1" applyAlignment="1">
      <alignment horizontal="center"/>
    </xf>
    <xf numFmtId="0" fontId="6" fillId="0" borderId="1" xfId="0" applyFont="1" applyBorder="1" applyAlignment="1">
      <alignment horizontal="left" vertical="center"/>
    </xf>
  </cellXfs>
  <cellStyles count="5">
    <cellStyle name="Comma" xfId="1" builtinId="3"/>
    <cellStyle name="Comma [0]" xfId="3" builtinId="6"/>
    <cellStyle name="Legal 8½ x 14 in" xf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765525</xdr:colOff>
      <xdr:row>0</xdr:row>
      <xdr:rowOff>0</xdr:rowOff>
    </xdr:from>
    <xdr:to>
      <xdr:col>11</xdr:col>
      <xdr:colOff>338666</xdr:colOff>
      <xdr:row>5</xdr:row>
      <xdr:rowOff>31750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B9A407E-D42F-5EC1-8117-971FB24614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598331" y="0"/>
          <a:ext cx="8099779" cy="948972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776109</xdr:colOff>
      <xdr:row>0</xdr:row>
      <xdr:rowOff>0</xdr:rowOff>
    </xdr:from>
    <xdr:to>
      <xdr:col>11</xdr:col>
      <xdr:colOff>349250</xdr:colOff>
      <xdr:row>5</xdr:row>
      <xdr:rowOff>31750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B9A407E-D42F-5EC1-8117-971FB24614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08915" y="0"/>
          <a:ext cx="8099779" cy="948972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Q130"/>
  <sheetViews>
    <sheetView tabSelected="1" zoomScale="180" zoomScaleNormal="180" workbookViewId="0">
      <selection activeCell="O23" sqref="O23"/>
    </sheetView>
  </sheetViews>
  <sheetFormatPr defaultRowHeight="14.5"/>
  <cols>
    <col min="1" max="1" width="40.54296875" style="114" bestFit="1" customWidth="1"/>
    <col min="2" max="2" width="12.54296875" customWidth="1"/>
    <col min="3" max="13" width="12.1796875" customWidth="1"/>
    <col min="14" max="14" width="15.54296875" style="1" bestFit="1" customWidth="1"/>
    <col min="15" max="15" width="12" bestFit="1" customWidth="1"/>
  </cols>
  <sheetData>
    <row r="7" spans="1:17">
      <c r="A7" s="113"/>
      <c r="B7" s="5"/>
      <c r="C7" s="5"/>
      <c r="D7" s="5"/>
      <c r="E7" s="5"/>
      <c r="F7" s="5"/>
      <c r="G7" s="5"/>
      <c r="H7" s="5"/>
      <c r="I7" s="5"/>
      <c r="J7" s="5"/>
      <c r="K7" s="4"/>
      <c r="L7" s="2"/>
    </row>
    <row r="8" spans="1:17" ht="15.5">
      <c r="B8" s="243" t="s">
        <v>297</v>
      </c>
      <c r="C8" s="243"/>
      <c r="D8" s="243"/>
      <c r="E8" s="243"/>
      <c r="F8" s="243"/>
      <c r="G8" s="243"/>
      <c r="H8" s="243"/>
      <c r="I8" s="243"/>
      <c r="J8" s="243"/>
      <c r="K8" s="243"/>
      <c r="L8" s="243"/>
      <c r="M8" s="243"/>
      <c r="N8" s="244"/>
      <c r="O8" s="244"/>
      <c r="P8" s="244"/>
      <c r="Q8" s="244"/>
    </row>
    <row r="9" spans="1:17">
      <c r="B9" s="6" t="s">
        <v>10</v>
      </c>
      <c r="C9" s="6" t="s">
        <v>11</v>
      </c>
      <c r="D9" s="6" t="s">
        <v>12</v>
      </c>
      <c r="E9" s="6" t="s">
        <v>13</v>
      </c>
      <c r="F9" s="6" t="s">
        <v>14</v>
      </c>
      <c r="G9" s="6" t="s">
        <v>15</v>
      </c>
      <c r="H9" s="6" t="s">
        <v>16</v>
      </c>
      <c r="I9" s="6" t="s">
        <v>17</v>
      </c>
      <c r="J9" s="6" t="s">
        <v>18</v>
      </c>
      <c r="K9" s="6" t="s">
        <v>19</v>
      </c>
      <c r="L9" s="6" t="s">
        <v>20</v>
      </c>
      <c r="M9" s="6" t="s">
        <v>21</v>
      </c>
      <c r="N9" s="6" t="s">
        <v>280</v>
      </c>
    </row>
    <row r="10" spans="1:17">
      <c r="A10" s="115"/>
      <c r="B10" s="7" t="s">
        <v>0</v>
      </c>
      <c r="C10" s="7" t="s">
        <v>0</v>
      </c>
      <c r="D10" s="7" t="s">
        <v>0</v>
      </c>
      <c r="E10" s="7" t="s">
        <v>0</v>
      </c>
      <c r="F10" s="7" t="s">
        <v>0</v>
      </c>
      <c r="G10" s="7" t="s">
        <v>0</v>
      </c>
      <c r="H10" s="7" t="s">
        <v>0</v>
      </c>
      <c r="I10" s="7" t="s">
        <v>0</v>
      </c>
      <c r="J10" s="7" t="s">
        <v>0</v>
      </c>
      <c r="K10" s="7" t="s">
        <v>0</v>
      </c>
      <c r="L10" s="7" t="s">
        <v>0</v>
      </c>
      <c r="M10" s="7" t="s">
        <v>0</v>
      </c>
      <c r="N10" s="7" t="s">
        <v>0</v>
      </c>
    </row>
    <row r="11" spans="1:17">
      <c r="A11" s="116" t="s">
        <v>116</v>
      </c>
      <c r="B11" s="83"/>
      <c r="C11" s="83"/>
      <c r="D11" s="83"/>
      <c r="E11" s="83"/>
      <c r="F11" s="83"/>
      <c r="G11" s="83"/>
      <c r="H11" s="83"/>
      <c r="I11" s="83"/>
      <c r="J11" s="83"/>
      <c r="K11" s="83"/>
      <c r="L11" s="83"/>
      <c r="M11" s="83"/>
      <c r="N11" s="84">
        <f>'INCOME DETAILS'!Q121</f>
        <v>3997</v>
      </c>
    </row>
    <row r="12" spans="1:17">
      <c r="A12" s="117" t="s">
        <v>1</v>
      </c>
      <c r="B12" s="82"/>
      <c r="C12" s="82"/>
      <c r="D12" s="82"/>
      <c r="E12" s="82"/>
      <c r="F12" s="82"/>
      <c r="G12" s="82"/>
      <c r="H12" s="82"/>
      <c r="I12" s="82"/>
      <c r="J12" s="82"/>
      <c r="K12" s="82"/>
      <c r="L12" s="82"/>
      <c r="M12" s="82"/>
      <c r="N12" s="89"/>
    </row>
    <row r="13" spans="1:17">
      <c r="A13" s="118" t="s">
        <v>2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90"/>
    </row>
    <row r="14" spans="1:17" ht="28">
      <c r="A14" s="119" t="s">
        <v>101</v>
      </c>
      <c r="B14" s="80">
        <f>N14/12</f>
        <v>6041666.666666667</v>
      </c>
      <c r="C14" s="80">
        <v>6041666.666666667</v>
      </c>
      <c r="D14" s="80">
        <v>6041666.666666667</v>
      </c>
      <c r="E14" s="80">
        <v>6041666.666666667</v>
      </c>
      <c r="F14" s="80">
        <v>6041666.666666667</v>
      </c>
      <c r="G14" s="80">
        <v>6041666.666666667</v>
      </c>
      <c r="H14" s="80">
        <v>6041666.666666667</v>
      </c>
      <c r="I14" s="80">
        <v>6041666.666666667</v>
      </c>
      <c r="J14" s="80">
        <v>6041666.666666667</v>
      </c>
      <c r="K14" s="80">
        <v>6041666.666666667</v>
      </c>
      <c r="L14" s="80">
        <v>6041666.666666667</v>
      </c>
      <c r="M14" s="80">
        <v>6041666.666666667</v>
      </c>
      <c r="N14" s="91">
        <f>'INCOME DETAILS'!AB104</f>
        <v>72500000</v>
      </c>
    </row>
    <row r="15" spans="1:17">
      <c r="A15" s="119" t="s">
        <v>102</v>
      </c>
      <c r="B15" s="80">
        <f t="shared" ref="B15:B20" si="0">N15/12</f>
        <v>10250000</v>
      </c>
      <c r="C15" s="80">
        <v>12437500</v>
      </c>
      <c r="D15" s="80">
        <v>12437500</v>
      </c>
      <c r="E15" s="80">
        <v>12437500</v>
      </c>
      <c r="F15" s="80">
        <v>12437500</v>
      </c>
      <c r="G15" s="80">
        <v>12437500</v>
      </c>
      <c r="H15" s="80">
        <v>12437500</v>
      </c>
      <c r="I15" s="80">
        <v>12437500</v>
      </c>
      <c r="J15" s="80">
        <v>12437500</v>
      </c>
      <c r="K15" s="80">
        <v>12437500</v>
      </c>
      <c r="L15" s="80">
        <v>12437500</v>
      </c>
      <c r="M15" s="80">
        <v>12437500</v>
      </c>
      <c r="N15" s="91">
        <f>'INCOME DETAILS'!AB112</f>
        <v>123000000</v>
      </c>
    </row>
    <row r="16" spans="1:17">
      <c r="A16" s="119" t="s">
        <v>103</v>
      </c>
      <c r="B16" s="80">
        <f t="shared" si="0"/>
        <v>41477500</v>
      </c>
      <c r="C16" s="80">
        <v>45802500</v>
      </c>
      <c r="D16" s="80">
        <v>45802500</v>
      </c>
      <c r="E16" s="80">
        <v>45802500</v>
      </c>
      <c r="F16" s="80">
        <v>45802500</v>
      </c>
      <c r="G16" s="80">
        <v>45802500</v>
      </c>
      <c r="H16" s="80">
        <v>45802500</v>
      </c>
      <c r="I16" s="80">
        <v>45802500</v>
      </c>
      <c r="J16" s="80">
        <v>45802500</v>
      </c>
      <c r="K16" s="80">
        <v>45802500</v>
      </c>
      <c r="L16" s="80">
        <v>45802500</v>
      </c>
      <c r="M16" s="80">
        <v>45802500</v>
      </c>
      <c r="N16" s="91">
        <f>'INCOME DETAILS'!AB62</f>
        <v>497730000</v>
      </c>
    </row>
    <row r="17" spans="1:15" ht="28">
      <c r="A17" s="119" t="s">
        <v>104</v>
      </c>
      <c r="B17" s="80">
        <f t="shared" si="0"/>
        <v>5160750</v>
      </c>
      <c r="C17" s="80">
        <v>7155750</v>
      </c>
      <c r="D17" s="80">
        <v>7155750</v>
      </c>
      <c r="E17" s="80">
        <v>7155750</v>
      </c>
      <c r="F17" s="80">
        <v>7155750</v>
      </c>
      <c r="G17" s="80">
        <v>7155750</v>
      </c>
      <c r="H17" s="80">
        <v>7155750</v>
      </c>
      <c r="I17" s="80">
        <v>7155750</v>
      </c>
      <c r="J17" s="80">
        <v>7155750</v>
      </c>
      <c r="K17" s="80">
        <v>7155750</v>
      </c>
      <c r="L17" s="80">
        <v>7155750</v>
      </c>
      <c r="M17" s="80">
        <v>7155750</v>
      </c>
      <c r="N17" s="91">
        <f>'INCOME DETAILS'!AB117</f>
        <v>61929000</v>
      </c>
    </row>
    <row r="18" spans="1:15">
      <c r="A18" s="119" t="s">
        <v>105</v>
      </c>
      <c r="B18" s="80">
        <f t="shared" si="0"/>
        <v>3428333.3333333335</v>
      </c>
      <c r="C18" s="80">
        <v>9997083.333333334</v>
      </c>
      <c r="D18" s="80">
        <v>9997083.333333334</v>
      </c>
      <c r="E18" s="80">
        <v>9997083.333333334</v>
      </c>
      <c r="F18" s="80">
        <v>9997083.333333334</v>
      </c>
      <c r="G18" s="80">
        <v>9997083.333333334</v>
      </c>
      <c r="H18" s="80">
        <v>9997083.333333334</v>
      </c>
      <c r="I18" s="80">
        <v>9997083.333333334</v>
      </c>
      <c r="J18" s="80">
        <v>9997083.333333334</v>
      </c>
      <c r="K18" s="80">
        <v>9997083.333333334</v>
      </c>
      <c r="L18" s="80">
        <v>9997083.333333334</v>
      </c>
      <c r="M18" s="80">
        <v>9997083.333333334</v>
      </c>
      <c r="N18" s="91">
        <f>'INCOME DETAILS'!AB96</f>
        <v>41140000</v>
      </c>
    </row>
    <row r="19" spans="1:15">
      <c r="A19" s="119" t="s">
        <v>106</v>
      </c>
      <c r="B19" s="80">
        <f t="shared" si="0"/>
        <v>10931250</v>
      </c>
      <c r="C19" s="80">
        <v>12264583.333333334</v>
      </c>
      <c r="D19" s="80">
        <v>12264583.333333334</v>
      </c>
      <c r="E19" s="80">
        <v>12264583.333333334</v>
      </c>
      <c r="F19" s="80">
        <v>12264583.333333334</v>
      </c>
      <c r="G19" s="80">
        <v>12264583.333333334</v>
      </c>
      <c r="H19" s="80">
        <v>12264583.333333334</v>
      </c>
      <c r="I19" s="80">
        <v>12264583.333333334</v>
      </c>
      <c r="J19" s="80">
        <v>12264583.333333334</v>
      </c>
      <c r="K19" s="80">
        <v>12264583.333333334</v>
      </c>
      <c r="L19" s="80">
        <v>12264583.333333334</v>
      </c>
      <c r="M19" s="80">
        <v>12264583.333333334</v>
      </c>
      <c r="N19" s="91">
        <f>'INCOME DETAILS'!AB28</f>
        <v>131175000</v>
      </c>
    </row>
    <row r="20" spans="1:15">
      <c r="A20" s="119" t="s">
        <v>107</v>
      </c>
      <c r="B20" s="80">
        <f t="shared" si="0"/>
        <v>2770833.3333333335</v>
      </c>
      <c r="C20" s="80">
        <v>2770833.3333333335</v>
      </c>
      <c r="D20" s="80">
        <v>2770833.3333333335</v>
      </c>
      <c r="E20" s="80">
        <v>2770833.3333333335</v>
      </c>
      <c r="F20" s="80">
        <v>2770833.3333333335</v>
      </c>
      <c r="G20" s="80">
        <v>2770833.3333333335</v>
      </c>
      <c r="H20" s="80">
        <v>2770833.3333333335</v>
      </c>
      <c r="I20" s="80">
        <v>2770833.3333333335</v>
      </c>
      <c r="J20" s="80">
        <v>2770833.3333333335</v>
      </c>
      <c r="K20" s="80">
        <v>2770833.3333333335</v>
      </c>
      <c r="L20" s="80">
        <v>2770833.3333333335</v>
      </c>
      <c r="M20" s="80">
        <v>2770833.3333333335</v>
      </c>
      <c r="N20" s="91">
        <f>'INCOME DETAILS'!AB36</f>
        <v>33250000</v>
      </c>
    </row>
    <row r="21" spans="1:15">
      <c r="A21" s="119" t="s">
        <v>115</v>
      </c>
      <c r="K21" s="68">
        <f>N21/3</f>
        <v>0</v>
      </c>
      <c r="L21" s="68">
        <v>0</v>
      </c>
      <c r="M21" s="68">
        <v>0</v>
      </c>
      <c r="N21" s="91">
        <f>'INCOME DETAILS'!AB120</f>
        <v>0</v>
      </c>
    </row>
    <row r="22" spans="1:15">
      <c r="A22" s="119" t="s">
        <v>109</v>
      </c>
      <c r="B22" s="80"/>
      <c r="N22" s="106"/>
    </row>
    <row r="23" spans="1:15">
      <c r="A23" s="119" t="s">
        <v>199</v>
      </c>
      <c r="B23" s="80">
        <f>N23/12</f>
        <v>23065416.666666668</v>
      </c>
      <c r="C23" s="80">
        <v>23065416.666666668</v>
      </c>
      <c r="D23" s="80">
        <v>23065416.666666668</v>
      </c>
      <c r="E23" s="80">
        <v>23065416.666666668</v>
      </c>
      <c r="F23" s="80">
        <v>23065416.666666668</v>
      </c>
      <c r="G23" s="80">
        <v>23065416.666666668</v>
      </c>
      <c r="H23" s="80">
        <v>23065416.666666668</v>
      </c>
      <c r="I23" s="80">
        <v>23065416.666666668</v>
      </c>
      <c r="J23" s="80">
        <v>23065416.666666668</v>
      </c>
      <c r="K23" s="80">
        <v>23065416.666666668</v>
      </c>
      <c r="L23" s="80">
        <v>23065416.666666668</v>
      </c>
      <c r="M23" s="80">
        <v>23065416.666666668</v>
      </c>
      <c r="N23" s="91">
        <v>276785000</v>
      </c>
      <c r="O23" s="68">
        <f>N23+N24+N25+N26-N24</f>
        <v>718753993.33333325</v>
      </c>
    </row>
    <row r="24" spans="1:15">
      <c r="A24" s="119" t="s">
        <v>200</v>
      </c>
      <c r="B24" s="80"/>
      <c r="C24" s="80"/>
      <c r="D24" s="80"/>
      <c r="E24" s="80"/>
      <c r="F24" s="80"/>
      <c r="G24" s="80"/>
      <c r="H24" s="80"/>
      <c r="I24" s="80"/>
      <c r="J24" s="80"/>
      <c r="K24" s="80">
        <f>N24/3</f>
        <v>24625000</v>
      </c>
      <c r="L24" s="80">
        <v>24625000</v>
      </c>
      <c r="M24" s="80">
        <v>24625000</v>
      </c>
      <c r="N24" s="91">
        <f>'INCOME DETAILS'!S124</f>
        <v>73875000</v>
      </c>
    </row>
    <row r="25" spans="1:15">
      <c r="A25" s="119" t="s">
        <v>108</v>
      </c>
      <c r="B25" s="80">
        <f t="shared" ref="B25" si="1">N25/12</f>
        <v>32324777.777777772</v>
      </c>
      <c r="C25" s="80">
        <v>32324777.77777775</v>
      </c>
      <c r="D25" s="80">
        <v>32324777.77777775</v>
      </c>
      <c r="E25" s="80">
        <v>32324777.77777775</v>
      </c>
      <c r="F25" s="80">
        <v>32324777.77777775</v>
      </c>
      <c r="G25" s="80">
        <v>32324777.77777775</v>
      </c>
      <c r="H25" s="80">
        <v>32324777.77777775</v>
      </c>
      <c r="I25" s="80">
        <v>32324777.77777775</v>
      </c>
      <c r="J25" s="80">
        <v>32324777.77777775</v>
      </c>
      <c r="K25" s="80">
        <v>32324777.77777775</v>
      </c>
      <c r="L25" s="80">
        <v>32324777.77777775</v>
      </c>
      <c r="M25" s="80">
        <v>32324777.77777775</v>
      </c>
      <c r="N25" s="106">
        <f>'INCOME DETAILS'!F133</f>
        <v>387897333.33333325</v>
      </c>
    </row>
    <row r="26" spans="1:15">
      <c r="A26" s="119" t="s">
        <v>91</v>
      </c>
      <c r="F26" s="80">
        <f>N26/9</f>
        <v>6007962.222222222</v>
      </c>
      <c r="G26" s="80">
        <v>6007962.222222222</v>
      </c>
      <c r="H26" s="80">
        <v>6007962.222222222</v>
      </c>
      <c r="I26" s="80">
        <v>6007962.222222222</v>
      </c>
      <c r="J26" s="80">
        <v>6007962.222222222</v>
      </c>
      <c r="K26" s="80">
        <v>6007962.222222222</v>
      </c>
      <c r="L26" s="80">
        <v>6007962.222222222</v>
      </c>
      <c r="M26" s="80">
        <v>6007962.222222222</v>
      </c>
      <c r="N26" s="106">
        <f>'INCOME DETAILS'!E140</f>
        <v>54071660</v>
      </c>
    </row>
    <row r="27" spans="1:15">
      <c r="A27" s="120" t="s">
        <v>110</v>
      </c>
      <c r="B27" s="81">
        <f>SUM(B14:B26)</f>
        <v>135450527.77777776</v>
      </c>
      <c r="C27" s="81">
        <f t="shared" ref="C27:M27" si="2">SUM(C14:C26)</f>
        <v>151860111.11111107</v>
      </c>
      <c r="D27" s="81">
        <f t="shared" si="2"/>
        <v>151860111.11111107</v>
      </c>
      <c r="E27" s="81">
        <f t="shared" si="2"/>
        <v>151860111.11111107</v>
      </c>
      <c r="F27" s="81">
        <f t="shared" si="2"/>
        <v>157868073.33333328</v>
      </c>
      <c r="G27" s="81">
        <f t="shared" si="2"/>
        <v>157868073.33333328</v>
      </c>
      <c r="H27" s="81">
        <f t="shared" si="2"/>
        <v>157868073.33333328</v>
      </c>
      <c r="I27" s="81">
        <f t="shared" si="2"/>
        <v>157868073.33333328</v>
      </c>
      <c r="J27" s="81">
        <f t="shared" si="2"/>
        <v>157868073.33333328</v>
      </c>
      <c r="K27" s="81">
        <f t="shared" si="2"/>
        <v>182493073.33333328</v>
      </c>
      <c r="L27" s="81">
        <f t="shared" si="2"/>
        <v>182493073.33333328</v>
      </c>
      <c r="M27" s="81">
        <f t="shared" si="2"/>
        <v>182493073.33333328</v>
      </c>
      <c r="N27" s="106">
        <f>SUM(N14:N26)</f>
        <v>1753352993.3333333</v>
      </c>
    </row>
    <row r="28" spans="1:15">
      <c r="A28" s="119" t="s">
        <v>56</v>
      </c>
      <c r="B28" s="68">
        <f>N28/12</f>
        <v>703333.33333333337</v>
      </c>
      <c r="C28" s="80">
        <v>930416.66666666663</v>
      </c>
      <c r="D28" s="80">
        <v>930416.66666666663</v>
      </c>
      <c r="E28" s="80">
        <v>930416.66666666663</v>
      </c>
      <c r="F28" s="80">
        <v>930416.66666666663</v>
      </c>
      <c r="G28" s="80">
        <v>930416.66666666663</v>
      </c>
      <c r="H28" s="80">
        <v>930416.66666666663</v>
      </c>
      <c r="I28" s="80">
        <v>930416.66666666663</v>
      </c>
      <c r="J28" s="80">
        <v>930416.66666666663</v>
      </c>
      <c r="K28" s="80">
        <v>930416.66666666663</v>
      </c>
      <c r="L28" s="80">
        <v>930416.66666666663</v>
      </c>
      <c r="M28" s="80">
        <v>930416.66666666663</v>
      </c>
      <c r="N28" s="91">
        <f>'INCOME DETAILS'!AD121</f>
        <v>8440000</v>
      </c>
    </row>
    <row r="29" spans="1:15">
      <c r="A29" s="119" t="s">
        <v>59</v>
      </c>
      <c r="B29" s="80">
        <f>N29/12</f>
        <v>3187500</v>
      </c>
      <c r="C29" s="80">
        <v>2870833.3333333335</v>
      </c>
      <c r="D29" s="80">
        <v>2870833.3333333335</v>
      </c>
      <c r="E29" s="80">
        <v>2870833.3333333335</v>
      </c>
      <c r="F29" s="80">
        <v>2870833.3333333335</v>
      </c>
      <c r="G29" s="80">
        <v>2870833.3333333335</v>
      </c>
      <c r="H29" s="80">
        <v>2870833.3333333335</v>
      </c>
      <c r="I29" s="80">
        <v>2870833.3333333335</v>
      </c>
      <c r="J29" s="80">
        <v>2870833.3333333335</v>
      </c>
      <c r="K29" s="80">
        <v>2870833.3333333335</v>
      </c>
      <c r="L29" s="80">
        <v>2870833.3333333335</v>
      </c>
      <c r="M29" s="80">
        <v>2870833.3333333335</v>
      </c>
      <c r="N29" s="91">
        <f>'INCOME DETAILS'!AE121</f>
        <v>38250000</v>
      </c>
    </row>
    <row r="30" spans="1:15">
      <c r="A30" s="119" t="s">
        <v>111</v>
      </c>
      <c r="B30" s="80">
        <f>N30/12</f>
        <v>3837500</v>
      </c>
      <c r="C30" s="80">
        <v>3837500</v>
      </c>
      <c r="D30" s="80">
        <v>3837500</v>
      </c>
      <c r="E30" s="80">
        <v>3837500</v>
      </c>
      <c r="F30" s="80">
        <v>3837500</v>
      </c>
      <c r="G30" s="80">
        <v>3837500</v>
      </c>
      <c r="H30" s="80">
        <v>3837500</v>
      </c>
      <c r="I30" s="80">
        <v>3837500</v>
      </c>
      <c r="J30" s="80">
        <v>3837500</v>
      </c>
      <c r="K30" s="80">
        <v>3837500</v>
      </c>
      <c r="L30" s="80">
        <v>3837500</v>
      </c>
      <c r="M30" s="80">
        <v>3837500</v>
      </c>
      <c r="N30" s="91">
        <f>'INCOME DETAILS'!AF121</f>
        <v>46050000</v>
      </c>
    </row>
    <row r="31" spans="1:15">
      <c r="A31" s="119" t="s">
        <v>112</v>
      </c>
      <c r="J31" s="68">
        <f>N31</f>
        <v>13000000</v>
      </c>
      <c r="N31" s="91">
        <f>260*50000</f>
        <v>13000000</v>
      </c>
    </row>
    <row r="32" spans="1:15">
      <c r="A32" s="119" t="s">
        <v>5</v>
      </c>
      <c r="B32" s="68">
        <f>N32/12</f>
        <v>50820</v>
      </c>
      <c r="C32" s="68">
        <v>50820</v>
      </c>
      <c r="D32" s="68">
        <v>50820</v>
      </c>
      <c r="E32" s="68">
        <v>50820</v>
      </c>
      <c r="F32" s="68">
        <v>50820</v>
      </c>
      <c r="G32" s="68">
        <v>50820</v>
      </c>
      <c r="H32" s="68">
        <v>50820</v>
      </c>
      <c r="I32" s="68">
        <v>50820</v>
      </c>
      <c r="J32" s="68">
        <v>50820</v>
      </c>
      <c r="K32" s="68">
        <v>50820</v>
      </c>
      <c r="L32" s="68">
        <v>50820</v>
      </c>
      <c r="M32" s="68">
        <v>50820</v>
      </c>
      <c r="N32" s="91">
        <v>609840</v>
      </c>
    </row>
    <row r="33" spans="1:14">
      <c r="A33" s="121" t="s">
        <v>113</v>
      </c>
      <c r="B33" s="68">
        <f t="shared" ref="B33:B34" si="3">N33/12</f>
        <v>33333.333333333336</v>
      </c>
      <c r="C33" s="68">
        <v>33333.333333333336</v>
      </c>
      <c r="D33" s="68">
        <v>33333.333333333336</v>
      </c>
      <c r="E33" s="68">
        <v>33333.333333333336</v>
      </c>
      <c r="F33" s="68">
        <v>33333.333333333336</v>
      </c>
      <c r="G33" s="68">
        <v>33333.333333333336</v>
      </c>
      <c r="H33" s="68">
        <v>33333.333333333336</v>
      </c>
      <c r="I33" s="68">
        <v>33333.333333333336</v>
      </c>
      <c r="J33" s="68">
        <v>33333.333333333336</v>
      </c>
      <c r="K33" s="68">
        <v>33333.333333333336</v>
      </c>
      <c r="L33" s="68">
        <v>33333.333333333336</v>
      </c>
      <c r="M33" s="68">
        <v>33333.333333333336</v>
      </c>
      <c r="N33" s="91">
        <v>400000</v>
      </c>
    </row>
    <row r="34" spans="1:14">
      <c r="A34" s="121" t="s">
        <v>114</v>
      </c>
      <c r="B34" s="68">
        <f t="shared" si="3"/>
        <v>232466.66666666666</v>
      </c>
      <c r="C34" s="68">
        <v>232466.66666666666</v>
      </c>
      <c r="D34" s="68">
        <v>232466.66666666666</v>
      </c>
      <c r="E34" s="68">
        <v>232466.66666666666</v>
      </c>
      <c r="F34" s="68">
        <v>232466.66666666666</v>
      </c>
      <c r="G34" s="68">
        <v>232466.66666666666</v>
      </c>
      <c r="H34" s="68">
        <v>232466.66666666666</v>
      </c>
      <c r="I34" s="68">
        <v>232466.66666666666</v>
      </c>
      <c r="J34" s="68">
        <v>232466.66666666666</v>
      </c>
      <c r="K34" s="68">
        <v>232466.66666666666</v>
      </c>
      <c r="L34" s="68">
        <v>232466.66666666666</v>
      </c>
      <c r="M34" s="68">
        <v>232466.66666666666</v>
      </c>
      <c r="N34" s="91">
        <v>2789600</v>
      </c>
    </row>
    <row r="35" spans="1:14" s="1" customFormat="1">
      <c r="A35" s="122" t="s">
        <v>259</v>
      </c>
      <c r="B35" s="102">
        <f>SUM(B27:B34)</f>
        <v>143495481.1111111</v>
      </c>
      <c r="C35" s="102">
        <f t="shared" ref="C35:M35" si="4">SUM(C27:C34)</f>
        <v>159815481.11111107</v>
      </c>
      <c r="D35" s="102">
        <f t="shared" si="4"/>
        <v>159815481.11111107</v>
      </c>
      <c r="E35" s="102">
        <f t="shared" si="4"/>
        <v>159815481.11111107</v>
      </c>
      <c r="F35" s="102">
        <f t="shared" si="4"/>
        <v>165823443.33333328</v>
      </c>
      <c r="G35" s="102">
        <f t="shared" si="4"/>
        <v>165823443.33333328</v>
      </c>
      <c r="H35" s="102">
        <f t="shared" si="4"/>
        <v>165823443.33333328</v>
      </c>
      <c r="I35" s="102">
        <f t="shared" si="4"/>
        <v>165823443.33333328</v>
      </c>
      <c r="J35" s="102">
        <f t="shared" si="4"/>
        <v>178823443.33333328</v>
      </c>
      <c r="K35" s="102">
        <f t="shared" si="4"/>
        <v>190448443.33333328</v>
      </c>
      <c r="L35" s="102">
        <f t="shared" si="4"/>
        <v>190448443.33333328</v>
      </c>
      <c r="M35" s="102">
        <f t="shared" si="4"/>
        <v>190448443.33333328</v>
      </c>
      <c r="N35" s="102">
        <f>SUM(N27:N34)</f>
        <v>1862892433.3333333</v>
      </c>
    </row>
    <row r="36" spans="1:14" s="1" customFormat="1">
      <c r="A36" s="123"/>
      <c r="B36" s="103"/>
      <c r="C36" s="103"/>
      <c r="D36" s="103"/>
      <c r="E36" s="103"/>
      <c r="F36" s="103"/>
      <c r="G36" s="103"/>
      <c r="H36" s="103"/>
      <c r="I36" s="103"/>
      <c r="J36" s="103"/>
      <c r="K36" s="103"/>
      <c r="L36" s="103"/>
      <c r="M36" s="103"/>
      <c r="N36" s="106"/>
    </row>
    <row r="37" spans="1:14">
      <c r="A37" s="120" t="s">
        <v>4</v>
      </c>
      <c r="N37" s="106"/>
    </row>
    <row r="38" spans="1:14">
      <c r="A38" s="124" t="s">
        <v>258</v>
      </c>
      <c r="B38" s="95">
        <f>N38/12</f>
        <v>1309000</v>
      </c>
      <c r="C38" s="95">
        <v>109083.33333333333</v>
      </c>
      <c r="D38" s="95">
        <v>109083.33333333299</v>
      </c>
      <c r="E38" s="95">
        <v>109083.33333333333</v>
      </c>
      <c r="F38" s="95">
        <v>109083.33333333333</v>
      </c>
      <c r="G38" s="95">
        <v>109083.33333333299</v>
      </c>
      <c r="H38" s="95">
        <v>109083.33333333333</v>
      </c>
      <c r="I38" s="95">
        <v>109083.33333333333</v>
      </c>
      <c r="J38" s="95">
        <v>109083.33333333333</v>
      </c>
      <c r="K38" s="95">
        <v>109083.33333333333</v>
      </c>
      <c r="L38" s="95">
        <v>109083.33333333333</v>
      </c>
      <c r="M38" s="95">
        <v>109083.33333333333</v>
      </c>
      <c r="N38" s="91">
        <f>187*7000*12</f>
        <v>15708000</v>
      </c>
    </row>
    <row r="39" spans="1:14">
      <c r="A39" s="124" t="s">
        <v>268</v>
      </c>
      <c r="B39" s="80"/>
      <c r="C39" s="80"/>
      <c r="D39" s="80"/>
      <c r="E39" s="80"/>
      <c r="F39" s="80">
        <f>N39/8</f>
        <v>12500000</v>
      </c>
      <c r="G39" s="80">
        <v>12500000</v>
      </c>
      <c r="H39" s="80">
        <v>12500000</v>
      </c>
      <c r="I39" s="80">
        <v>12500000</v>
      </c>
      <c r="J39" s="80">
        <v>12500000</v>
      </c>
      <c r="K39" s="80">
        <v>12500000</v>
      </c>
      <c r="L39" s="80">
        <v>12500000</v>
      </c>
      <c r="M39" s="80">
        <v>12500000</v>
      </c>
      <c r="N39" s="91">
        <v>100000000</v>
      </c>
    </row>
    <row r="40" spans="1:14" s="1" customFormat="1">
      <c r="A40" s="125" t="s">
        <v>266</v>
      </c>
      <c r="B40" s="94">
        <f>B38+B39</f>
        <v>1309000</v>
      </c>
      <c r="C40" s="94">
        <f t="shared" ref="C40:M40" si="5">C38+C39</f>
        <v>109083.33333333333</v>
      </c>
      <c r="D40" s="94">
        <f t="shared" si="5"/>
        <v>109083.33333333299</v>
      </c>
      <c r="E40" s="94">
        <f t="shared" si="5"/>
        <v>109083.33333333333</v>
      </c>
      <c r="F40" s="94">
        <f t="shared" si="5"/>
        <v>12609083.333333334</v>
      </c>
      <c r="G40" s="94">
        <f t="shared" si="5"/>
        <v>12609083.333333332</v>
      </c>
      <c r="H40" s="94">
        <f t="shared" si="5"/>
        <v>12609083.333333334</v>
      </c>
      <c r="I40" s="94">
        <f t="shared" si="5"/>
        <v>12609083.333333334</v>
      </c>
      <c r="J40" s="94">
        <f t="shared" si="5"/>
        <v>12609083.333333334</v>
      </c>
      <c r="K40" s="94">
        <f t="shared" si="5"/>
        <v>12609083.333333334</v>
      </c>
      <c r="L40" s="94">
        <f t="shared" si="5"/>
        <v>12609083.333333334</v>
      </c>
      <c r="M40" s="94">
        <f t="shared" si="5"/>
        <v>12609083.333333334</v>
      </c>
      <c r="N40" s="94">
        <f>N38+N39</f>
        <v>115708000</v>
      </c>
    </row>
    <row r="41" spans="1:14">
      <c r="A41" s="126" t="s">
        <v>267</v>
      </c>
      <c r="B41" s="9">
        <f>B40+B35</f>
        <v>144804481.1111111</v>
      </c>
      <c r="C41" s="9">
        <f t="shared" ref="C41:N41" si="6">C40+C35</f>
        <v>159924564.44444442</v>
      </c>
      <c r="D41" s="9">
        <f t="shared" si="6"/>
        <v>159924564.44444442</v>
      </c>
      <c r="E41" s="9">
        <f t="shared" si="6"/>
        <v>159924564.44444442</v>
      </c>
      <c r="F41" s="9">
        <f t="shared" si="6"/>
        <v>178432526.66666663</v>
      </c>
      <c r="G41" s="9">
        <f t="shared" si="6"/>
        <v>178432526.66666663</v>
      </c>
      <c r="H41" s="9">
        <f t="shared" si="6"/>
        <v>178432526.66666663</v>
      </c>
      <c r="I41" s="9">
        <f t="shared" si="6"/>
        <v>178432526.66666663</v>
      </c>
      <c r="J41" s="9">
        <f t="shared" si="6"/>
        <v>191432526.66666663</v>
      </c>
      <c r="K41" s="9">
        <f t="shared" si="6"/>
        <v>203057526.66666663</v>
      </c>
      <c r="L41" s="9">
        <f t="shared" si="6"/>
        <v>203057526.66666663</v>
      </c>
      <c r="M41" s="9">
        <f t="shared" si="6"/>
        <v>203057526.66666663</v>
      </c>
      <c r="N41" s="9">
        <f t="shared" si="6"/>
        <v>1978600433.3333333</v>
      </c>
    </row>
    <row r="42" spans="1:14">
      <c r="A42" s="127" t="s">
        <v>6</v>
      </c>
      <c r="N42" s="106"/>
    </row>
    <row r="43" spans="1:14">
      <c r="A43" s="128" t="s">
        <v>175</v>
      </c>
      <c r="N43" s="106"/>
    </row>
    <row r="44" spans="1:14">
      <c r="A44" s="129" t="s">
        <v>176</v>
      </c>
      <c r="B44" s="86">
        <v>32407582.152857132</v>
      </c>
      <c r="C44" s="86">
        <v>32407582.152857132</v>
      </c>
      <c r="D44" s="86">
        <v>32407582.152857132</v>
      </c>
      <c r="E44" s="86">
        <v>32407582.152857099</v>
      </c>
      <c r="F44" s="86">
        <v>32407582.152857099</v>
      </c>
      <c r="G44" s="86">
        <v>32407582.152857099</v>
      </c>
      <c r="H44" s="86">
        <v>32407582.152857099</v>
      </c>
      <c r="I44" s="86">
        <v>32407582.152857099</v>
      </c>
      <c r="J44" s="86">
        <v>32407582.152857099</v>
      </c>
      <c r="K44" s="86">
        <v>36319384.650857128</v>
      </c>
      <c r="L44" s="86">
        <v>36319384.650857128</v>
      </c>
      <c r="M44" s="86">
        <v>36319384.650857128</v>
      </c>
      <c r="N44" s="106">
        <f>SUM(B44:M44)</f>
        <v>400626393.32828546</v>
      </c>
    </row>
    <row r="45" spans="1:14">
      <c r="A45" s="129" t="s">
        <v>177</v>
      </c>
      <c r="B45" s="86">
        <f>'Part-time staff cost'!B13/12</f>
        <v>8044756.3937499998</v>
      </c>
      <c r="C45" s="86">
        <f t="shared" ref="C45:M45" si="7">B45</f>
        <v>8044756.3937499998</v>
      </c>
      <c r="D45" s="86">
        <f t="shared" si="7"/>
        <v>8044756.3937499998</v>
      </c>
      <c r="E45" s="86">
        <f t="shared" si="7"/>
        <v>8044756.3937499998</v>
      </c>
      <c r="F45" s="86">
        <f t="shared" si="7"/>
        <v>8044756.3937499998</v>
      </c>
      <c r="G45" s="86">
        <f t="shared" si="7"/>
        <v>8044756.3937499998</v>
      </c>
      <c r="H45" s="86">
        <f t="shared" si="7"/>
        <v>8044756.3937499998</v>
      </c>
      <c r="I45" s="86">
        <f t="shared" si="7"/>
        <v>8044756.3937499998</v>
      </c>
      <c r="J45" s="86">
        <f t="shared" si="7"/>
        <v>8044756.3937499998</v>
      </c>
      <c r="K45" s="86">
        <f t="shared" si="7"/>
        <v>8044756.3937499998</v>
      </c>
      <c r="L45" s="86">
        <f t="shared" si="7"/>
        <v>8044756.3937499998</v>
      </c>
      <c r="M45" s="86">
        <f t="shared" si="7"/>
        <v>8044756.3937499998</v>
      </c>
      <c r="N45" s="106">
        <f>SUM(B45:M45)</f>
        <v>96537076.724999979</v>
      </c>
    </row>
    <row r="46" spans="1:14">
      <c r="A46" s="129" t="s">
        <v>178</v>
      </c>
      <c r="B46" s="87">
        <v>14887169.139593381</v>
      </c>
      <c r="C46" s="87">
        <v>14887169.139593381</v>
      </c>
      <c r="D46" s="87">
        <v>14887169.139593381</v>
      </c>
      <c r="E46" s="87">
        <v>14887169.139593381</v>
      </c>
      <c r="F46" s="87">
        <v>14887169.139593381</v>
      </c>
      <c r="G46" s="87">
        <v>14887169.139593381</v>
      </c>
      <c r="H46" s="87">
        <v>14887169.139593381</v>
      </c>
      <c r="I46" s="87">
        <v>14887169.139593381</v>
      </c>
      <c r="J46" s="87">
        <v>14887169.139593381</v>
      </c>
      <c r="K46" s="87">
        <v>17500450.460307647</v>
      </c>
      <c r="L46" s="87">
        <v>17500450.460307647</v>
      </c>
      <c r="M46" s="87">
        <v>17500450.460307647</v>
      </c>
      <c r="N46" s="55">
        <f>SUM(B46:M46)</f>
        <v>186485873.63726339</v>
      </c>
    </row>
    <row r="47" spans="1:14">
      <c r="A47" s="129" t="s">
        <v>293</v>
      </c>
      <c r="B47" s="87">
        <v>2851511.4720000001</v>
      </c>
      <c r="C47" s="87">
        <v>2851511.4720000001</v>
      </c>
      <c r="D47" s="87">
        <v>2851511.4720000001</v>
      </c>
      <c r="E47" s="87">
        <v>2851511.4720000001</v>
      </c>
      <c r="F47" s="87">
        <v>2851511.4720000001</v>
      </c>
      <c r="G47" s="87">
        <v>2851511.4720000001</v>
      </c>
      <c r="H47" s="87">
        <v>2851511.4720000001</v>
      </c>
      <c r="I47" s="87">
        <v>2851511.4720000001</v>
      </c>
      <c r="J47" s="87">
        <v>2851511.4720000001</v>
      </c>
      <c r="K47" s="87">
        <v>2851511.4720000001</v>
      </c>
      <c r="L47" s="87">
        <v>2851511.4720000001</v>
      </c>
      <c r="M47" s="87">
        <v>2851511.4720000001</v>
      </c>
      <c r="N47" s="55">
        <f>SUM(B47:M47)</f>
        <v>34218137.663999997</v>
      </c>
    </row>
    <row r="48" spans="1:14">
      <c r="A48" s="129" t="s">
        <v>179</v>
      </c>
      <c r="B48" s="86">
        <v>1200000</v>
      </c>
      <c r="C48" s="86">
        <v>1200000</v>
      </c>
      <c r="D48" s="86">
        <v>1200000</v>
      </c>
      <c r="E48" s="86">
        <v>1200000</v>
      </c>
      <c r="F48" s="86">
        <v>1200000</v>
      </c>
      <c r="G48" s="86">
        <v>1200000</v>
      </c>
      <c r="H48" s="86">
        <v>1200000</v>
      </c>
      <c r="I48" s="86">
        <v>1200000</v>
      </c>
      <c r="J48" s="86">
        <v>1200000</v>
      </c>
      <c r="K48" s="86">
        <v>1200000</v>
      </c>
      <c r="L48" s="86">
        <v>1200000</v>
      </c>
      <c r="M48" s="86">
        <v>1200000</v>
      </c>
      <c r="N48" s="55">
        <f>SUM(B48:M48)</f>
        <v>14400000</v>
      </c>
    </row>
    <row r="49" spans="1:14" s="1" customFormat="1">
      <c r="A49" s="130" t="s">
        <v>180</v>
      </c>
      <c r="B49" s="157">
        <f>SUM(B44:B48)</f>
        <v>59391019.158200517</v>
      </c>
      <c r="C49" s="157">
        <f t="shared" ref="C49:M49" si="8">SUM(C44:C48)</f>
        <v>59391019.158200517</v>
      </c>
      <c r="D49" s="157">
        <f t="shared" si="8"/>
        <v>59391019.158200517</v>
      </c>
      <c r="E49" s="157">
        <f t="shared" si="8"/>
        <v>59391019.158200487</v>
      </c>
      <c r="F49" s="157">
        <f t="shared" si="8"/>
        <v>59391019.158200487</v>
      </c>
      <c r="G49" s="157">
        <f t="shared" si="8"/>
        <v>59391019.158200487</v>
      </c>
      <c r="H49" s="157">
        <f t="shared" si="8"/>
        <v>59391019.158200487</v>
      </c>
      <c r="I49" s="157">
        <f t="shared" si="8"/>
        <v>59391019.158200487</v>
      </c>
      <c r="J49" s="157">
        <f t="shared" si="8"/>
        <v>59391019.158200487</v>
      </c>
      <c r="K49" s="157">
        <f t="shared" si="8"/>
        <v>65916102.976914778</v>
      </c>
      <c r="L49" s="157">
        <f t="shared" si="8"/>
        <v>65916102.976914778</v>
      </c>
      <c r="M49" s="157">
        <f t="shared" si="8"/>
        <v>65916102.976914778</v>
      </c>
      <c r="N49" s="157">
        <f>SUM(N44:N48)</f>
        <v>732267481.35454881</v>
      </c>
    </row>
    <row r="50" spans="1:14">
      <c r="A50" s="131" t="s">
        <v>117</v>
      </c>
      <c r="B50" s="87"/>
      <c r="C50" s="87"/>
      <c r="D50" s="87"/>
      <c r="E50" s="87"/>
      <c r="F50" s="87"/>
      <c r="G50" s="87"/>
      <c r="H50" s="87"/>
      <c r="I50" s="87"/>
      <c r="J50" s="87"/>
      <c r="K50" s="87"/>
      <c r="L50" s="87"/>
      <c r="M50" s="87"/>
      <c r="N50" s="55"/>
    </row>
    <row r="51" spans="1:14">
      <c r="A51" s="129" t="s">
        <v>118</v>
      </c>
      <c r="B51" s="92">
        <v>210000</v>
      </c>
      <c r="C51" s="92">
        <v>210000</v>
      </c>
      <c r="D51" s="92">
        <v>210000</v>
      </c>
      <c r="E51" s="92">
        <v>210000</v>
      </c>
      <c r="F51" s="92">
        <v>210000</v>
      </c>
      <c r="G51" s="92">
        <v>210000</v>
      </c>
      <c r="H51" s="92">
        <v>210000</v>
      </c>
      <c r="I51" s="92">
        <v>210000</v>
      </c>
      <c r="J51" s="92">
        <v>210000</v>
      </c>
      <c r="K51" s="92">
        <v>210000</v>
      </c>
      <c r="L51" s="92">
        <v>210000</v>
      </c>
      <c r="M51" s="92">
        <v>210000</v>
      </c>
      <c r="N51" s="88">
        <f>SUM(B51:M51)</f>
        <v>2520000</v>
      </c>
    </row>
    <row r="52" spans="1:14">
      <c r="A52" s="129" t="s">
        <v>119</v>
      </c>
      <c r="B52" s="86">
        <f>720000+55000</f>
        <v>775000</v>
      </c>
      <c r="C52" s="86">
        <f t="shared" ref="C52:M52" si="9">720000+55000</f>
        <v>775000</v>
      </c>
      <c r="D52" s="86">
        <f t="shared" si="9"/>
        <v>775000</v>
      </c>
      <c r="E52" s="86">
        <f t="shared" si="9"/>
        <v>775000</v>
      </c>
      <c r="F52" s="86">
        <f t="shared" si="9"/>
        <v>775000</v>
      </c>
      <c r="G52" s="86">
        <f t="shared" si="9"/>
        <v>775000</v>
      </c>
      <c r="H52" s="86">
        <f t="shared" si="9"/>
        <v>775000</v>
      </c>
      <c r="I52" s="86">
        <f t="shared" si="9"/>
        <v>775000</v>
      </c>
      <c r="J52" s="86">
        <f t="shared" si="9"/>
        <v>775000</v>
      </c>
      <c r="K52" s="86">
        <f t="shared" si="9"/>
        <v>775000</v>
      </c>
      <c r="L52" s="86">
        <f t="shared" si="9"/>
        <v>775000</v>
      </c>
      <c r="M52" s="86">
        <f t="shared" si="9"/>
        <v>775000</v>
      </c>
      <c r="N52" s="106">
        <f>SUM(B52:M52)</f>
        <v>9300000</v>
      </c>
    </row>
    <row r="53" spans="1:14">
      <c r="A53" s="129" t="s">
        <v>181</v>
      </c>
      <c r="B53" s="86">
        <v>1342035</v>
      </c>
      <c r="C53" s="86">
        <v>1342035</v>
      </c>
      <c r="D53" s="86">
        <v>1342035</v>
      </c>
      <c r="E53" s="86">
        <v>1342035</v>
      </c>
      <c r="F53" s="86">
        <v>1342035</v>
      </c>
      <c r="G53" s="86">
        <v>1342035</v>
      </c>
      <c r="H53" s="86">
        <v>1342035</v>
      </c>
      <c r="I53" s="86">
        <v>1342035</v>
      </c>
      <c r="J53" s="86">
        <v>1342035</v>
      </c>
      <c r="K53" s="86">
        <v>1342035</v>
      </c>
      <c r="L53" s="86">
        <v>1342035</v>
      </c>
      <c r="M53" s="86">
        <v>1342035</v>
      </c>
      <c r="N53" s="106">
        <f>SUM(B53:M53)</f>
        <v>16104420</v>
      </c>
    </row>
    <row r="54" spans="1:14">
      <c r="A54" s="129" t="s">
        <v>120</v>
      </c>
      <c r="B54" s="86">
        <f>N54/12</f>
        <v>1280603.3999999999</v>
      </c>
      <c r="C54" s="86">
        <v>1280603.3999999999</v>
      </c>
      <c r="D54" s="86">
        <v>1280603.3999999999</v>
      </c>
      <c r="E54" s="86">
        <v>1280603.3999999999</v>
      </c>
      <c r="F54" s="86">
        <v>1280603.3999999999</v>
      </c>
      <c r="G54" s="86">
        <v>1280603.3999999999</v>
      </c>
      <c r="H54" s="86">
        <v>1280603.3999999999</v>
      </c>
      <c r="I54" s="86">
        <v>1280603.3999999999</v>
      </c>
      <c r="J54" s="86">
        <v>1280603.3999999999</v>
      </c>
      <c r="K54" s="86">
        <v>1280603.3999999999</v>
      </c>
      <c r="L54" s="86">
        <v>1280603.3999999999</v>
      </c>
      <c r="M54" s="86">
        <v>1280603.3999999999</v>
      </c>
      <c r="N54" s="55">
        <f>(12234658+571376)*120%</f>
        <v>15367240.799999999</v>
      </c>
    </row>
    <row r="55" spans="1:14">
      <c r="A55" s="129" t="s">
        <v>271</v>
      </c>
      <c r="B55" s="86">
        <v>800000</v>
      </c>
      <c r="C55" s="86">
        <v>800000</v>
      </c>
      <c r="D55" s="86">
        <v>800000</v>
      </c>
      <c r="E55" s="86">
        <v>800000</v>
      </c>
      <c r="F55" s="86">
        <v>800000</v>
      </c>
      <c r="G55" s="86">
        <v>800000</v>
      </c>
      <c r="H55" s="86">
        <v>800000</v>
      </c>
      <c r="I55" s="86">
        <v>800000</v>
      </c>
      <c r="J55" s="86">
        <v>800000</v>
      </c>
      <c r="K55" s="86">
        <v>800000</v>
      </c>
      <c r="L55" s="86">
        <v>800000</v>
      </c>
      <c r="M55" s="86">
        <v>800000</v>
      </c>
      <c r="N55" s="55">
        <f>SUM(B55:M55)</f>
        <v>9600000</v>
      </c>
    </row>
    <row r="56" spans="1:14">
      <c r="A56" s="129" t="s">
        <v>121</v>
      </c>
      <c r="B56" s="86">
        <v>2020000</v>
      </c>
      <c r="C56" s="86">
        <v>2020000</v>
      </c>
      <c r="D56" s="86">
        <v>2020000</v>
      </c>
      <c r="E56" s="86">
        <v>2020000</v>
      </c>
      <c r="F56" s="86">
        <v>2020000</v>
      </c>
      <c r="G56" s="86">
        <v>2020000</v>
      </c>
      <c r="H56" s="86">
        <v>2020000</v>
      </c>
      <c r="I56" s="86">
        <v>2020000</v>
      </c>
      <c r="J56" s="86">
        <v>2020000</v>
      </c>
      <c r="K56" s="86">
        <v>2020000</v>
      </c>
      <c r="L56" s="86">
        <v>2020000</v>
      </c>
      <c r="M56" s="86">
        <v>2020000</v>
      </c>
      <c r="N56" s="106">
        <f>SUM(B56:M56)</f>
        <v>24240000</v>
      </c>
    </row>
    <row r="57" spans="1:14">
      <c r="A57" s="129" t="s">
        <v>123</v>
      </c>
      <c r="B57" s="86">
        <v>3999855</v>
      </c>
      <c r="C57" s="86">
        <v>3999855</v>
      </c>
      <c r="D57" s="86">
        <v>3999855</v>
      </c>
      <c r="E57" s="86">
        <v>3999855</v>
      </c>
      <c r="F57" s="86">
        <v>3999855</v>
      </c>
      <c r="G57" s="86">
        <v>3999855</v>
      </c>
      <c r="H57" s="86">
        <v>3999855</v>
      </c>
      <c r="I57" s="86">
        <v>3999855</v>
      </c>
      <c r="J57" s="86">
        <v>3999855</v>
      </c>
      <c r="K57" s="86">
        <v>3999855</v>
      </c>
      <c r="L57" s="86">
        <v>3999855</v>
      </c>
      <c r="M57" s="86">
        <v>3999855</v>
      </c>
      <c r="N57" s="106">
        <f>SUM(B57:M57)</f>
        <v>47998260</v>
      </c>
    </row>
    <row r="58" spans="1:14">
      <c r="A58" s="129" t="s">
        <v>9</v>
      </c>
      <c r="B58" s="86">
        <f>N58/12</f>
        <v>99705.599999999991</v>
      </c>
      <c r="C58" s="86">
        <v>99705.599999999991</v>
      </c>
      <c r="D58" s="86">
        <v>99705.599999999991</v>
      </c>
      <c r="E58" s="86">
        <v>99705.599999999991</v>
      </c>
      <c r="F58" s="86">
        <v>99705.599999999991</v>
      </c>
      <c r="G58" s="86">
        <v>99705.599999999991</v>
      </c>
      <c r="H58" s="86">
        <v>99705.599999999991</v>
      </c>
      <c r="I58" s="86">
        <v>99705.599999999991</v>
      </c>
      <c r="J58" s="86">
        <v>99705.599999999991</v>
      </c>
      <c r="K58" s="86">
        <v>99705.599999999991</v>
      </c>
      <c r="L58" s="86">
        <v>99705.599999999991</v>
      </c>
      <c r="M58" s="86">
        <v>99705.599999999991</v>
      </c>
      <c r="N58" s="106">
        <f>997056*120%</f>
        <v>1196467.2</v>
      </c>
    </row>
    <row r="59" spans="1:14" ht="14.25" customHeight="1">
      <c r="A59" s="129" t="s">
        <v>122</v>
      </c>
      <c r="B59" s="86">
        <f>N59/12</f>
        <v>14640</v>
      </c>
      <c r="C59" s="86">
        <v>14640</v>
      </c>
      <c r="D59" s="86">
        <v>14640</v>
      </c>
      <c r="E59" s="86">
        <v>14640</v>
      </c>
      <c r="F59" s="86">
        <v>14640</v>
      </c>
      <c r="G59" s="86">
        <v>14640</v>
      </c>
      <c r="H59" s="86">
        <v>14640</v>
      </c>
      <c r="I59" s="86">
        <v>14640</v>
      </c>
      <c r="J59" s="86">
        <v>14640</v>
      </c>
      <c r="K59" s="86">
        <v>14640</v>
      </c>
      <c r="L59" s="86">
        <v>14640</v>
      </c>
      <c r="M59" s="86">
        <v>14640</v>
      </c>
      <c r="N59" s="106">
        <f>146400*120%</f>
        <v>175680</v>
      </c>
    </row>
    <row r="60" spans="1:14">
      <c r="A60" s="129" t="s">
        <v>124</v>
      </c>
      <c r="B60" s="92">
        <v>3294272.8349999995</v>
      </c>
      <c r="C60" s="92">
        <v>3294272.8349999995</v>
      </c>
      <c r="D60" s="92">
        <v>3294272.8349999995</v>
      </c>
      <c r="E60" s="92">
        <v>3294272.8349999995</v>
      </c>
      <c r="F60" s="92">
        <v>3294272.8349999995</v>
      </c>
      <c r="G60" s="92">
        <v>3294272.8349999995</v>
      </c>
      <c r="H60" s="92">
        <v>3294272.8349999995</v>
      </c>
      <c r="I60" s="92">
        <v>3294272.8349999995</v>
      </c>
      <c r="J60" s="92">
        <v>3294272.8349999995</v>
      </c>
      <c r="K60" s="92">
        <v>3294272.8349999995</v>
      </c>
      <c r="L60" s="92">
        <v>3294272.8349999995</v>
      </c>
      <c r="M60" s="92">
        <v>3294272.8349999995</v>
      </c>
      <c r="N60" s="106">
        <v>39531274.019999996</v>
      </c>
    </row>
    <row r="61" spans="1:14">
      <c r="A61" s="129" t="s">
        <v>125</v>
      </c>
      <c r="B61" s="86">
        <v>1172273.2583333331</v>
      </c>
      <c r="C61" s="86">
        <v>1172273.2583333331</v>
      </c>
      <c r="D61" s="86">
        <v>1172273.2583333331</v>
      </c>
      <c r="E61" s="86">
        <v>1172273.2583333331</v>
      </c>
      <c r="F61" s="86">
        <v>1172273.2583333331</v>
      </c>
      <c r="G61" s="86">
        <v>1172273.2583333331</v>
      </c>
      <c r="H61" s="86">
        <v>1172273.2583333331</v>
      </c>
      <c r="I61" s="86">
        <v>1172273.2583333331</v>
      </c>
      <c r="J61" s="86">
        <v>1172273.2583333331</v>
      </c>
      <c r="K61" s="86">
        <v>1172273.2583333331</v>
      </c>
      <c r="L61" s="86">
        <v>1172273.2583333331</v>
      </c>
      <c r="M61" s="86">
        <v>1172273.2583333331</v>
      </c>
      <c r="N61" s="106">
        <f t="shared" ref="N61" si="10">SUM(B61:M61)</f>
        <v>14067279.099999996</v>
      </c>
    </row>
    <row r="62" spans="1:14">
      <c r="A62" s="129" t="s">
        <v>126</v>
      </c>
      <c r="B62" s="86">
        <f>500000+400000+50000</f>
        <v>950000</v>
      </c>
      <c r="C62" s="86">
        <f t="shared" ref="C62:M62" si="11">500000+400000+50000</f>
        <v>950000</v>
      </c>
      <c r="D62" s="86">
        <f t="shared" si="11"/>
        <v>950000</v>
      </c>
      <c r="E62" s="86">
        <f t="shared" si="11"/>
        <v>950000</v>
      </c>
      <c r="F62" s="86">
        <f t="shared" si="11"/>
        <v>950000</v>
      </c>
      <c r="G62" s="86">
        <f t="shared" si="11"/>
        <v>950000</v>
      </c>
      <c r="H62" s="86">
        <f t="shared" si="11"/>
        <v>950000</v>
      </c>
      <c r="I62" s="86">
        <f t="shared" si="11"/>
        <v>950000</v>
      </c>
      <c r="J62" s="86">
        <f t="shared" si="11"/>
        <v>950000</v>
      </c>
      <c r="K62" s="86">
        <f t="shared" si="11"/>
        <v>950000</v>
      </c>
      <c r="L62" s="86">
        <f t="shared" si="11"/>
        <v>950000</v>
      </c>
      <c r="M62" s="86">
        <f t="shared" si="11"/>
        <v>950000</v>
      </c>
      <c r="N62" s="106">
        <f>SUM(B62:M62)</f>
        <v>11400000</v>
      </c>
    </row>
    <row r="63" spans="1:14">
      <c r="A63" s="129" t="s">
        <v>182</v>
      </c>
      <c r="B63" s="86">
        <v>1038333.3333333334</v>
      </c>
      <c r="C63" s="86">
        <v>1038333.3333333334</v>
      </c>
      <c r="D63" s="86">
        <v>1038333.3333333334</v>
      </c>
      <c r="E63" s="86">
        <v>1038333.3333333334</v>
      </c>
      <c r="F63" s="86">
        <v>1038333.3333333334</v>
      </c>
      <c r="G63" s="86">
        <v>1038333.3333333334</v>
      </c>
      <c r="H63" s="86">
        <v>1038333.3333333334</v>
      </c>
      <c r="I63" s="86">
        <v>1038333.3333333334</v>
      </c>
      <c r="J63" s="86">
        <v>1038333.3333333334</v>
      </c>
      <c r="K63" s="86">
        <v>1038333.3333333334</v>
      </c>
      <c r="L63" s="86">
        <v>1038333.3333333334</v>
      </c>
      <c r="M63" s="86">
        <v>1038333.3333333334</v>
      </c>
      <c r="N63" s="106">
        <f>'INCOME DETAILS'!X124</f>
        <v>12460000</v>
      </c>
    </row>
    <row r="64" spans="1:14">
      <c r="A64" s="129" t="s">
        <v>262</v>
      </c>
      <c r="B64" s="86">
        <f>N64/12</f>
        <v>833333.33333333337</v>
      </c>
      <c r="C64" s="86">
        <v>833333.33333333337</v>
      </c>
      <c r="D64" s="86">
        <v>833333.33333333337</v>
      </c>
      <c r="E64" s="86">
        <v>833333.33333333337</v>
      </c>
      <c r="F64" s="86">
        <v>833333.33333333337</v>
      </c>
      <c r="G64" s="86">
        <v>833333.33333333337</v>
      </c>
      <c r="H64" s="86">
        <v>833333.33333333337</v>
      </c>
      <c r="I64" s="86">
        <v>833333.33333333337</v>
      </c>
      <c r="J64" s="86">
        <v>833333.33333333337</v>
      </c>
      <c r="K64" s="86">
        <v>833333.33333333337</v>
      </c>
      <c r="L64" s="86">
        <v>833333.33333333337</v>
      </c>
      <c r="M64" s="86">
        <v>833333.33333333337</v>
      </c>
      <c r="N64" s="106">
        <v>10000000</v>
      </c>
    </row>
    <row r="65" spans="1:14">
      <c r="A65" s="129" t="s">
        <v>127</v>
      </c>
      <c r="B65" s="86">
        <f t="shared" ref="B65:B68" si="12">N65/12</f>
        <v>229814.66666666666</v>
      </c>
      <c r="C65" s="86">
        <v>229814.66666666666</v>
      </c>
      <c r="D65" s="86">
        <v>229814.66666666666</v>
      </c>
      <c r="E65" s="86">
        <v>229814.66666666666</v>
      </c>
      <c r="F65" s="86">
        <v>229814.66666666666</v>
      </c>
      <c r="G65" s="86">
        <v>229814.66666666666</v>
      </c>
      <c r="H65" s="86">
        <v>229814.66666666666</v>
      </c>
      <c r="I65" s="86">
        <v>229814.66666666666</v>
      </c>
      <c r="J65" s="86">
        <v>229814.66666666666</v>
      </c>
      <c r="K65" s="86">
        <v>229814.66666666666</v>
      </c>
      <c r="L65" s="86">
        <v>229814.66666666666</v>
      </c>
      <c r="M65" s="86">
        <v>229814.66666666666</v>
      </c>
      <c r="N65" s="55">
        <v>2757776</v>
      </c>
    </row>
    <row r="66" spans="1:14">
      <c r="A66" s="129" t="s">
        <v>7</v>
      </c>
      <c r="B66" s="86">
        <f t="shared" si="12"/>
        <v>195082.08333333334</v>
      </c>
      <c r="C66" s="86">
        <v>195082.08333333334</v>
      </c>
      <c r="D66" s="86">
        <v>195082.08333333334</v>
      </c>
      <c r="E66" s="86">
        <v>195082.08333333334</v>
      </c>
      <c r="F66" s="86">
        <v>195082.08333333334</v>
      </c>
      <c r="G66" s="86">
        <v>195082.08333333334</v>
      </c>
      <c r="H66" s="86">
        <v>195082.08333333334</v>
      </c>
      <c r="I66" s="86">
        <v>195082.08333333334</v>
      </c>
      <c r="J66" s="86">
        <v>195082.08333333334</v>
      </c>
      <c r="K66" s="86">
        <v>195082.08333333334</v>
      </c>
      <c r="L66" s="86">
        <v>195082.08333333334</v>
      </c>
      <c r="M66" s="86">
        <v>195082.08333333334</v>
      </c>
      <c r="N66" s="55">
        <v>2340985</v>
      </c>
    </row>
    <row r="67" spans="1:14">
      <c r="A67" s="129" t="s">
        <v>183</v>
      </c>
      <c r="B67" s="86">
        <f t="shared" si="12"/>
        <v>333333.33333333331</v>
      </c>
      <c r="C67" s="86">
        <v>333333.33333333331</v>
      </c>
      <c r="D67" s="86">
        <v>333333.33333333331</v>
      </c>
      <c r="E67" s="86">
        <v>333333.33333333331</v>
      </c>
      <c r="F67" s="86">
        <v>333333.33333333331</v>
      </c>
      <c r="G67" s="86">
        <v>333333.33333333331</v>
      </c>
      <c r="H67" s="86">
        <v>333333.33333333331</v>
      </c>
      <c r="I67" s="86">
        <v>333333.33333333331</v>
      </c>
      <c r="J67" s="86">
        <v>333333.33333333331</v>
      </c>
      <c r="K67" s="86">
        <v>333333.33333333331</v>
      </c>
      <c r="L67" s="86">
        <v>333333.33333333331</v>
      </c>
      <c r="M67" s="86">
        <v>333333.33333333331</v>
      </c>
      <c r="N67" s="55">
        <v>4000000</v>
      </c>
    </row>
    <row r="68" spans="1:14">
      <c r="A68" s="132" t="s">
        <v>188</v>
      </c>
      <c r="B68" s="86">
        <f t="shared" si="12"/>
        <v>410922.74999999994</v>
      </c>
      <c r="C68" s="86">
        <v>410922.74999999994</v>
      </c>
      <c r="D68" s="86">
        <v>410922.74999999994</v>
      </c>
      <c r="E68" s="86">
        <v>410922.74999999994</v>
      </c>
      <c r="F68" s="86">
        <v>410922.74999999994</v>
      </c>
      <c r="G68" s="86">
        <v>410922.74999999994</v>
      </c>
      <c r="H68" s="86">
        <v>410922.74999999994</v>
      </c>
      <c r="I68" s="86">
        <v>410922.74999999994</v>
      </c>
      <c r="J68" s="86">
        <v>410922.74999999994</v>
      </c>
      <c r="K68" s="86">
        <v>410922.74999999994</v>
      </c>
      <c r="L68" s="86">
        <v>410922.74999999994</v>
      </c>
      <c r="M68" s="86">
        <v>410922.74999999994</v>
      </c>
      <c r="N68" s="55">
        <v>4931072.9999999991</v>
      </c>
    </row>
    <row r="69" spans="1:14">
      <c r="A69" s="132" t="s">
        <v>128</v>
      </c>
      <c r="B69" s="86">
        <f>N69/12</f>
        <v>486777.08333333326</v>
      </c>
      <c r="C69" s="86">
        <v>486777.08333333326</v>
      </c>
      <c r="D69" s="86">
        <v>486777.08333333326</v>
      </c>
      <c r="E69" s="86">
        <v>486777.08333333326</v>
      </c>
      <c r="F69" s="86">
        <v>486777.08333333326</v>
      </c>
      <c r="G69" s="86">
        <v>486777.08333333326</v>
      </c>
      <c r="H69" s="86">
        <v>486777.08333333326</v>
      </c>
      <c r="I69" s="86">
        <v>486777.08333333326</v>
      </c>
      <c r="J69" s="86">
        <v>486777.08333333326</v>
      </c>
      <c r="K69" s="86">
        <v>486777.08333333326</v>
      </c>
      <c r="L69" s="86">
        <v>486777.08333333326</v>
      </c>
      <c r="M69" s="86">
        <v>486777.08333333326</v>
      </c>
      <c r="N69" s="55">
        <v>5841324.9999999991</v>
      </c>
    </row>
    <row r="70" spans="1:14">
      <c r="A70" s="132" t="s">
        <v>8</v>
      </c>
      <c r="B70" s="86">
        <f>N70/12</f>
        <v>250000</v>
      </c>
      <c r="C70" s="86">
        <v>250000</v>
      </c>
      <c r="D70" s="86">
        <v>250000</v>
      </c>
      <c r="E70" s="86">
        <v>250000</v>
      </c>
      <c r="F70" s="86">
        <v>250000</v>
      </c>
      <c r="G70" s="86">
        <v>250000</v>
      </c>
      <c r="H70" s="86">
        <v>250000</v>
      </c>
      <c r="I70" s="86">
        <v>250000</v>
      </c>
      <c r="J70" s="86">
        <v>250000</v>
      </c>
      <c r="K70" s="86">
        <v>250000</v>
      </c>
      <c r="L70" s="86">
        <v>250000</v>
      </c>
      <c r="M70" s="86">
        <v>250000</v>
      </c>
      <c r="N70" s="55">
        <v>3000000</v>
      </c>
    </row>
    <row r="71" spans="1:14">
      <c r="A71" s="129" t="s">
        <v>184</v>
      </c>
      <c r="B71" s="86">
        <f t="shared" ref="B71:B72" si="13">N71/12</f>
        <v>250000</v>
      </c>
      <c r="C71" s="86">
        <v>250000</v>
      </c>
      <c r="D71" s="86">
        <v>250000</v>
      </c>
      <c r="E71" s="86">
        <v>250000</v>
      </c>
      <c r="F71" s="86">
        <v>250000</v>
      </c>
      <c r="G71" s="86">
        <v>250000</v>
      </c>
      <c r="H71" s="86">
        <v>250000</v>
      </c>
      <c r="I71" s="86">
        <v>250000</v>
      </c>
      <c r="J71" s="86">
        <v>250000</v>
      </c>
      <c r="K71" s="86">
        <v>250000</v>
      </c>
      <c r="L71" s="86">
        <v>250000</v>
      </c>
      <c r="M71" s="86">
        <v>250000</v>
      </c>
      <c r="N71" s="55">
        <v>3000000</v>
      </c>
    </row>
    <row r="72" spans="1:14">
      <c r="A72" s="129" t="s">
        <v>186</v>
      </c>
      <c r="B72" s="86">
        <f t="shared" si="13"/>
        <v>416666.66666666669</v>
      </c>
      <c r="C72" s="86">
        <v>416666.66666666669</v>
      </c>
      <c r="D72" s="86">
        <v>416666.66666666669</v>
      </c>
      <c r="E72" s="86">
        <v>416666.66666666669</v>
      </c>
      <c r="F72" s="86">
        <v>416666.66666666669</v>
      </c>
      <c r="G72" s="86">
        <v>416666.66666666669</v>
      </c>
      <c r="H72" s="86">
        <v>416666.66666666669</v>
      </c>
      <c r="I72" s="86">
        <v>416666.66666666669</v>
      </c>
      <c r="J72" s="86">
        <v>416666.66666666669</v>
      </c>
      <c r="K72" s="86">
        <v>416666.66666666669</v>
      </c>
      <c r="L72" s="86">
        <v>416666.66666666669</v>
      </c>
      <c r="M72" s="86">
        <v>416666.66666666669</v>
      </c>
      <c r="N72" s="55">
        <v>5000000</v>
      </c>
    </row>
    <row r="73" spans="1:14">
      <c r="A73" s="129" t="s">
        <v>129</v>
      </c>
      <c r="B73" s="86">
        <v>400000</v>
      </c>
      <c r="C73" s="86">
        <v>400000</v>
      </c>
      <c r="D73" s="86">
        <v>400000</v>
      </c>
      <c r="E73" s="86">
        <v>400000</v>
      </c>
      <c r="F73" s="86">
        <v>400000</v>
      </c>
      <c r="G73" s="86">
        <v>400000</v>
      </c>
      <c r="H73" s="86">
        <v>400000</v>
      </c>
      <c r="I73" s="86">
        <v>400000</v>
      </c>
      <c r="J73" s="86">
        <v>400000</v>
      </c>
      <c r="K73" s="86">
        <v>400000</v>
      </c>
      <c r="L73" s="86">
        <v>400000</v>
      </c>
      <c r="M73" s="86">
        <v>400000</v>
      </c>
      <c r="N73" s="106">
        <f>SUM(B73:M73)</f>
        <v>4800000</v>
      </c>
    </row>
    <row r="74" spans="1:14">
      <c r="A74" s="132" t="s">
        <v>207</v>
      </c>
      <c r="B74" s="86">
        <v>3024380</v>
      </c>
      <c r="C74" s="86">
        <v>3024380</v>
      </c>
      <c r="D74" s="86">
        <v>3024380</v>
      </c>
      <c r="E74" s="86">
        <v>3024380</v>
      </c>
      <c r="F74" s="86">
        <v>3024380</v>
      </c>
      <c r="G74" s="86">
        <v>3024380</v>
      </c>
      <c r="H74" s="86">
        <v>3024380</v>
      </c>
      <c r="I74" s="86">
        <v>3024380</v>
      </c>
      <c r="J74" s="86">
        <v>3024380</v>
      </c>
      <c r="K74" s="86">
        <v>3024380</v>
      </c>
      <c r="L74" s="86">
        <v>3024380</v>
      </c>
      <c r="M74" s="86">
        <v>3024380</v>
      </c>
      <c r="N74" s="106">
        <f>SUM(B74:M74)</f>
        <v>36292560</v>
      </c>
    </row>
    <row r="75" spans="1:14">
      <c r="A75" s="132" t="s">
        <v>130</v>
      </c>
      <c r="B75" s="86">
        <v>5000000</v>
      </c>
      <c r="C75" s="86">
        <v>5000000</v>
      </c>
      <c r="D75" s="86">
        <v>5000000</v>
      </c>
      <c r="E75" s="86">
        <v>5000000</v>
      </c>
      <c r="F75" s="86">
        <v>5000000</v>
      </c>
      <c r="G75" s="86">
        <v>5000000</v>
      </c>
      <c r="H75" s="86">
        <v>5000000</v>
      </c>
      <c r="I75" s="86">
        <v>5000000</v>
      </c>
      <c r="J75" s="86">
        <v>5000000</v>
      </c>
      <c r="K75" s="86">
        <v>5000000</v>
      </c>
      <c r="L75" s="86">
        <v>5000000</v>
      </c>
      <c r="M75" s="86">
        <v>5000000</v>
      </c>
      <c r="N75" s="55">
        <f>SUM(B75:M75)</f>
        <v>60000000</v>
      </c>
    </row>
    <row r="76" spans="1:14" s="1" customFormat="1">
      <c r="A76" s="133" t="s">
        <v>131</v>
      </c>
      <c r="B76" s="94">
        <f t="shared" ref="B76:N76" si="14">SUM(B51:B75)</f>
        <v>28827028.34333333</v>
      </c>
      <c r="C76" s="94">
        <f t="shared" si="14"/>
        <v>28827028.34333333</v>
      </c>
      <c r="D76" s="94">
        <f t="shared" si="14"/>
        <v>28827028.34333333</v>
      </c>
      <c r="E76" s="94">
        <f t="shared" si="14"/>
        <v>28827028.34333333</v>
      </c>
      <c r="F76" s="94">
        <f t="shared" si="14"/>
        <v>28827028.34333333</v>
      </c>
      <c r="G76" s="94">
        <f t="shared" si="14"/>
        <v>28827028.34333333</v>
      </c>
      <c r="H76" s="94">
        <f t="shared" si="14"/>
        <v>28827028.34333333</v>
      </c>
      <c r="I76" s="94">
        <f t="shared" si="14"/>
        <v>28827028.34333333</v>
      </c>
      <c r="J76" s="94">
        <f t="shared" si="14"/>
        <v>28827028.34333333</v>
      </c>
      <c r="K76" s="94">
        <f t="shared" si="14"/>
        <v>28827028.34333333</v>
      </c>
      <c r="L76" s="94">
        <f t="shared" si="14"/>
        <v>28827028.34333333</v>
      </c>
      <c r="M76" s="94">
        <f t="shared" si="14"/>
        <v>28827028.34333333</v>
      </c>
      <c r="N76" s="94">
        <f t="shared" si="14"/>
        <v>345924340.12</v>
      </c>
    </row>
    <row r="77" spans="1:14">
      <c r="A77" s="127" t="s">
        <v>132</v>
      </c>
      <c r="B77" s="86"/>
      <c r="C77" s="86"/>
      <c r="D77" s="86"/>
      <c r="E77" s="86"/>
      <c r="F77" s="86"/>
      <c r="G77" s="86"/>
      <c r="H77" s="86"/>
      <c r="I77" s="86"/>
      <c r="J77" s="86"/>
      <c r="K77" s="86"/>
      <c r="L77" s="86"/>
      <c r="M77" s="86"/>
      <c r="N77" s="106"/>
    </row>
    <row r="78" spans="1:14">
      <c r="A78" s="129" t="s">
        <v>133</v>
      </c>
      <c r="B78" s="86">
        <v>1250000</v>
      </c>
      <c r="C78" s="86">
        <v>1250000</v>
      </c>
      <c r="D78" s="86">
        <v>1250000</v>
      </c>
      <c r="E78" s="86">
        <v>1250000</v>
      </c>
      <c r="F78" s="86">
        <v>1250000</v>
      </c>
      <c r="G78" s="86">
        <v>1250000</v>
      </c>
      <c r="H78" s="86">
        <v>1250000</v>
      </c>
      <c r="I78" s="86">
        <v>1250000</v>
      </c>
      <c r="J78" s="86">
        <v>1250000</v>
      </c>
      <c r="K78" s="86">
        <v>1250000</v>
      </c>
      <c r="L78" s="86">
        <v>1250000</v>
      </c>
      <c r="M78" s="86">
        <v>1250000</v>
      </c>
      <c r="N78" s="55">
        <v>15000000</v>
      </c>
    </row>
    <row r="79" spans="1:14">
      <c r="A79" s="129" t="s">
        <v>134</v>
      </c>
      <c r="B79" s="86">
        <v>170000</v>
      </c>
      <c r="C79" s="86">
        <v>170000</v>
      </c>
      <c r="D79" s="86">
        <v>170000</v>
      </c>
      <c r="E79" s="86">
        <v>170000</v>
      </c>
      <c r="F79" s="86">
        <v>170000</v>
      </c>
      <c r="G79" s="86">
        <v>170000</v>
      </c>
      <c r="H79" s="86">
        <v>170000</v>
      </c>
      <c r="I79" s="86">
        <v>170000</v>
      </c>
      <c r="J79" s="86">
        <v>170000</v>
      </c>
      <c r="K79" s="86">
        <v>170000</v>
      </c>
      <c r="L79" s="86">
        <v>170000</v>
      </c>
      <c r="M79" s="86">
        <v>170000</v>
      </c>
      <c r="N79" s="55">
        <f>SUM(B79:M79)</f>
        <v>2040000</v>
      </c>
    </row>
    <row r="80" spans="1:14">
      <c r="A80" s="132" t="s">
        <v>185</v>
      </c>
      <c r="B80" s="86">
        <v>1080208.3366666667</v>
      </c>
      <c r="C80" s="86">
        <v>1080208.3366666667</v>
      </c>
      <c r="D80" s="86">
        <v>1080208.3366666699</v>
      </c>
      <c r="E80" s="86">
        <v>1080208.3366666667</v>
      </c>
      <c r="F80" s="86">
        <v>1080208.3366666667</v>
      </c>
      <c r="G80" s="86">
        <v>1080208.3366666667</v>
      </c>
      <c r="H80" s="86">
        <v>1080208.3366666667</v>
      </c>
      <c r="I80" s="86">
        <v>1080208.3366666667</v>
      </c>
      <c r="J80" s="86">
        <v>1080208.3366666667</v>
      </c>
      <c r="K80" s="86">
        <v>1080208.3366666667</v>
      </c>
      <c r="L80" s="86">
        <v>1080208.3366666667</v>
      </c>
      <c r="M80" s="86">
        <v>1080208.3366666667</v>
      </c>
      <c r="N80" s="55">
        <v>12962500.039999999</v>
      </c>
    </row>
    <row r="81" spans="1:14">
      <c r="A81" s="129" t="s">
        <v>135</v>
      </c>
      <c r="B81" s="86">
        <v>1084000</v>
      </c>
      <c r="C81" s="86">
        <v>1084000</v>
      </c>
      <c r="D81" s="86">
        <v>1084000</v>
      </c>
      <c r="E81" s="86">
        <v>1084000</v>
      </c>
      <c r="F81" s="86">
        <v>1084000</v>
      </c>
      <c r="G81" s="86">
        <v>1084000</v>
      </c>
      <c r="H81" s="86">
        <v>1084000</v>
      </c>
      <c r="I81" s="86">
        <v>1084000</v>
      </c>
      <c r="J81" s="86">
        <v>1084000</v>
      </c>
      <c r="K81" s="86">
        <v>1084000</v>
      </c>
      <c r="L81" s="86">
        <v>1084000</v>
      </c>
      <c r="M81" s="86">
        <v>1084000</v>
      </c>
      <c r="N81" s="55">
        <f>SUM(B81:M81)</f>
        <v>13008000</v>
      </c>
    </row>
    <row r="82" spans="1:14" ht="28">
      <c r="A82" s="129" t="s">
        <v>136</v>
      </c>
      <c r="B82" s="86">
        <v>300000</v>
      </c>
      <c r="C82" s="86">
        <v>300000</v>
      </c>
      <c r="D82" s="86">
        <v>300000</v>
      </c>
      <c r="E82" s="86">
        <v>300000</v>
      </c>
      <c r="F82" s="86">
        <v>300000</v>
      </c>
      <c r="G82" s="86">
        <v>300000</v>
      </c>
      <c r="H82" s="86">
        <v>300000</v>
      </c>
      <c r="I82" s="86">
        <v>300000</v>
      </c>
      <c r="J82" s="86">
        <v>300000</v>
      </c>
      <c r="K82" s="86">
        <v>300000</v>
      </c>
      <c r="L82" s="86">
        <v>300000</v>
      </c>
      <c r="M82" s="86">
        <v>300000</v>
      </c>
      <c r="N82" s="55">
        <f>SUM(B82:M82)</f>
        <v>3600000</v>
      </c>
    </row>
    <row r="83" spans="1:14">
      <c r="A83" s="129" t="s">
        <v>260</v>
      </c>
      <c r="B83" s="86">
        <v>3600000</v>
      </c>
      <c r="C83" s="86">
        <v>3600000</v>
      </c>
      <c r="D83" s="86">
        <v>3600000</v>
      </c>
      <c r="E83" s="86">
        <v>3600000</v>
      </c>
      <c r="F83" s="86">
        <v>3600000</v>
      </c>
      <c r="G83" s="86">
        <v>3600000</v>
      </c>
      <c r="H83" s="86">
        <v>3600000</v>
      </c>
      <c r="I83" s="86">
        <v>3600000</v>
      </c>
      <c r="J83" s="86">
        <v>3600000</v>
      </c>
      <c r="K83" s="86">
        <v>3600000</v>
      </c>
      <c r="L83" s="86">
        <v>3600000</v>
      </c>
      <c r="M83" s="86">
        <v>3600000</v>
      </c>
      <c r="N83" s="55">
        <f>SUM(B83:M83)</f>
        <v>43200000</v>
      </c>
    </row>
    <row r="84" spans="1:14">
      <c r="A84" s="129" t="s">
        <v>187</v>
      </c>
      <c r="B84" s="86">
        <f>N84/12</f>
        <v>758333.33333333337</v>
      </c>
      <c r="C84" s="86">
        <v>758333.33333333337</v>
      </c>
      <c r="D84" s="86">
        <v>758333.33333333337</v>
      </c>
      <c r="E84" s="86">
        <v>758333.33333333337</v>
      </c>
      <c r="F84" s="86">
        <v>758333.33333333337</v>
      </c>
      <c r="G84" s="86">
        <v>758333.33333333337</v>
      </c>
      <c r="H84" s="86">
        <v>758333.33333333337</v>
      </c>
      <c r="I84" s="86">
        <v>758333.33333333337</v>
      </c>
      <c r="J84" s="86">
        <v>758333.33333333337</v>
      </c>
      <c r="K84" s="86">
        <v>758333.33333333337</v>
      </c>
      <c r="L84" s="86">
        <v>758333.33333333337</v>
      </c>
      <c r="M84" s="86">
        <v>758333.33333333337</v>
      </c>
      <c r="N84" s="55">
        <v>9100000</v>
      </c>
    </row>
    <row r="85" spans="1:14" s="1" customFormat="1">
      <c r="A85" s="134" t="s">
        <v>137</v>
      </c>
      <c r="B85" s="94">
        <f>SUM(B78:B84)</f>
        <v>8242541.6699999999</v>
      </c>
      <c r="C85" s="94">
        <f t="shared" ref="C85:N85" si="15">SUM(C78:C84)</f>
        <v>8242541.6699999999</v>
      </c>
      <c r="D85" s="94">
        <f t="shared" si="15"/>
        <v>8242541.6700000027</v>
      </c>
      <c r="E85" s="94">
        <f t="shared" si="15"/>
        <v>8242541.6699999999</v>
      </c>
      <c r="F85" s="94">
        <f t="shared" si="15"/>
        <v>8242541.6699999999</v>
      </c>
      <c r="G85" s="94">
        <f t="shared" si="15"/>
        <v>8242541.6699999999</v>
      </c>
      <c r="H85" s="94">
        <f t="shared" si="15"/>
        <v>8242541.6699999999</v>
      </c>
      <c r="I85" s="94">
        <f t="shared" si="15"/>
        <v>8242541.6699999999</v>
      </c>
      <c r="J85" s="94">
        <f t="shared" si="15"/>
        <v>8242541.6699999999</v>
      </c>
      <c r="K85" s="94">
        <f t="shared" si="15"/>
        <v>8242541.6699999999</v>
      </c>
      <c r="L85" s="94">
        <f t="shared" si="15"/>
        <v>8242541.6699999999</v>
      </c>
      <c r="M85" s="94">
        <f t="shared" si="15"/>
        <v>8242541.6699999999</v>
      </c>
      <c r="N85" s="94">
        <f t="shared" si="15"/>
        <v>98910500.039999992</v>
      </c>
    </row>
    <row r="86" spans="1:14">
      <c r="A86" s="131" t="s">
        <v>138</v>
      </c>
      <c r="B86" s="86"/>
      <c r="C86" s="86"/>
      <c r="D86" s="86"/>
      <c r="E86" s="86"/>
      <c r="F86" s="86"/>
      <c r="G86" s="86"/>
      <c r="H86" s="86"/>
      <c r="I86" s="86"/>
      <c r="J86" s="86"/>
      <c r="K86" s="86"/>
      <c r="L86" s="86"/>
      <c r="M86" s="86"/>
      <c r="N86" s="106"/>
    </row>
    <row r="87" spans="1:14">
      <c r="A87" s="129" t="s">
        <v>139</v>
      </c>
      <c r="B87" s="86">
        <f>N87/12</f>
        <v>73333.333333333343</v>
      </c>
      <c r="C87" s="86">
        <v>73333.333333333343</v>
      </c>
      <c r="D87" s="86">
        <v>73333.333333333343</v>
      </c>
      <c r="E87" s="86">
        <v>73333.333333333343</v>
      </c>
      <c r="F87" s="86">
        <v>73333.333333333343</v>
      </c>
      <c r="G87" s="86">
        <v>73333.333333333343</v>
      </c>
      <c r="H87" s="86">
        <v>73333.333333333343</v>
      </c>
      <c r="I87" s="86">
        <v>73333.333333333343</v>
      </c>
      <c r="J87" s="86">
        <v>73333.333333333343</v>
      </c>
      <c r="K87" s="86">
        <v>73333.333333333343</v>
      </c>
      <c r="L87" s="86">
        <v>73333.333333333343</v>
      </c>
      <c r="M87" s="86">
        <v>73333.333333333343</v>
      </c>
      <c r="N87" s="55">
        <v>880000.00000000012</v>
      </c>
    </row>
    <row r="88" spans="1:14">
      <c r="A88" s="129" t="s">
        <v>189</v>
      </c>
      <c r="B88" s="86">
        <f>N88/12</f>
        <v>125000</v>
      </c>
      <c r="C88" s="86">
        <v>125000</v>
      </c>
      <c r="D88" s="86">
        <v>125000</v>
      </c>
      <c r="E88" s="86">
        <v>125000</v>
      </c>
      <c r="F88" s="86">
        <v>125000</v>
      </c>
      <c r="G88" s="86">
        <v>125000</v>
      </c>
      <c r="H88" s="86">
        <v>125000</v>
      </c>
      <c r="I88" s="86">
        <v>125000</v>
      </c>
      <c r="J88" s="86">
        <v>125000</v>
      </c>
      <c r="K88" s="86">
        <v>125000</v>
      </c>
      <c r="L88" s="86">
        <v>125000</v>
      </c>
      <c r="M88" s="86">
        <v>125000</v>
      </c>
      <c r="N88" s="55">
        <v>1500000</v>
      </c>
    </row>
    <row r="89" spans="1:14">
      <c r="A89" s="129" t="s">
        <v>140</v>
      </c>
      <c r="B89" s="86">
        <v>431112.5</v>
      </c>
      <c r="C89" s="86">
        <v>431112.5</v>
      </c>
      <c r="D89" s="86">
        <v>431112.5</v>
      </c>
      <c r="E89" s="86">
        <v>431112.5</v>
      </c>
      <c r="F89" s="86">
        <v>431112.5</v>
      </c>
      <c r="G89" s="86">
        <v>431112.5</v>
      </c>
      <c r="H89" s="86">
        <v>431112.5</v>
      </c>
      <c r="I89" s="86">
        <v>431112.5</v>
      </c>
      <c r="J89" s="86">
        <v>431112.5</v>
      </c>
      <c r="K89" s="86">
        <v>431112.5</v>
      </c>
      <c r="L89" s="86">
        <v>431112.5</v>
      </c>
      <c r="M89" s="86">
        <v>431112.5</v>
      </c>
      <c r="N89" s="55">
        <v>5173350</v>
      </c>
    </row>
    <row r="90" spans="1:14" ht="28">
      <c r="A90" s="129" t="s">
        <v>141</v>
      </c>
      <c r="B90" s="86">
        <v>250000</v>
      </c>
      <c r="C90" s="86">
        <v>250000</v>
      </c>
      <c r="D90" s="86">
        <v>250000</v>
      </c>
      <c r="E90" s="86">
        <v>250000</v>
      </c>
      <c r="F90" s="86">
        <v>250000</v>
      </c>
      <c r="G90" s="86">
        <v>250000</v>
      </c>
      <c r="H90" s="86">
        <v>250000</v>
      </c>
      <c r="I90" s="86">
        <v>250000</v>
      </c>
      <c r="J90" s="86">
        <v>250000</v>
      </c>
      <c r="K90" s="86">
        <v>250000</v>
      </c>
      <c r="L90" s="86">
        <v>250000</v>
      </c>
      <c r="M90" s="86">
        <v>250000</v>
      </c>
      <c r="N90" s="55">
        <v>5173350</v>
      </c>
    </row>
    <row r="91" spans="1:14">
      <c r="A91" s="129" t="s">
        <v>190</v>
      </c>
      <c r="B91" s="86">
        <v>666166.66666666663</v>
      </c>
      <c r="C91" s="86">
        <v>666166.66666666663</v>
      </c>
      <c r="D91" s="86">
        <v>666166.66666666663</v>
      </c>
      <c r="E91" s="86">
        <v>666166.66666666663</v>
      </c>
      <c r="F91" s="86">
        <v>666166.66666666663</v>
      </c>
      <c r="G91" s="86">
        <v>666166.66666666663</v>
      </c>
      <c r="H91" s="86">
        <v>666166.66666666663</v>
      </c>
      <c r="I91" s="86">
        <v>666166.66666666663</v>
      </c>
      <c r="J91" s="86">
        <v>666166.66666666663</v>
      </c>
      <c r="K91" s="86">
        <v>666166.66666666663</v>
      </c>
      <c r="L91" s="86">
        <v>666166.66666666663</v>
      </c>
      <c r="M91" s="86">
        <v>666166.66666666663</v>
      </c>
      <c r="N91" s="55">
        <f>N11*2000</f>
        <v>7994000</v>
      </c>
    </row>
    <row r="92" spans="1:14">
      <c r="A92" s="129" t="s">
        <v>142</v>
      </c>
      <c r="B92" s="86">
        <f>N92/12</f>
        <v>166666.66666666666</v>
      </c>
      <c r="C92" s="86">
        <v>166666.66666666666</v>
      </c>
      <c r="D92" s="86">
        <v>166666.66666666666</v>
      </c>
      <c r="E92" s="86">
        <v>166666.66666666666</v>
      </c>
      <c r="F92" s="86">
        <v>166666.66666666666</v>
      </c>
      <c r="G92" s="86">
        <v>166666.66666666666</v>
      </c>
      <c r="H92" s="86">
        <v>166666.66666666666</v>
      </c>
      <c r="I92" s="86">
        <v>166666.66666666666</v>
      </c>
      <c r="J92" s="86">
        <v>166666.66666666666</v>
      </c>
      <c r="K92" s="86">
        <v>166666.66666666666</v>
      </c>
      <c r="L92" s="86">
        <v>166666.66666666666</v>
      </c>
      <c r="M92" s="86">
        <v>166666.66666666666</v>
      </c>
      <c r="N92" s="55">
        <v>2000000</v>
      </c>
    </row>
    <row r="93" spans="1:14" ht="28">
      <c r="A93" s="129" t="s">
        <v>143</v>
      </c>
      <c r="B93" s="86">
        <f t="shared" ref="B93:B94" si="16">N93/12</f>
        <v>166666.66666666666</v>
      </c>
      <c r="C93" s="86">
        <v>83333.333333333328</v>
      </c>
      <c r="D93" s="86">
        <v>83333.333333333328</v>
      </c>
      <c r="E93" s="86">
        <v>83333.333333333328</v>
      </c>
      <c r="F93" s="86">
        <v>83333.333333333328</v>
      </c>
      <c r="G93" s="86">
        <v>83333.333333333328</v>
      </c>
      <c r="H93" s="86">
        <v>83333.333333333328</v>
      </c>
      <c r="I93" s="86">
        <v>83333.333333333328</v>
      </c>
      <c r="J93" s="86">
        <v>83333.333333333328</v>
      </c>
      <c r="K93" s="86">
        <v>83333.333333333328</v>
      </c>
      <c r="L93" s="86">
        <v>83333.333333333328</v>
      </c>
      <c r="M93" s="86">
        <v>83333.333333333328</v>
      </c>
      <c r="N93" s="55">
        <v>2000000</v>
      </c>
    </row>
    <row r="94" spans="1:14">
      <c r="A94" s="129" t="s">
        <v>144</v>
      </c>
      <c r="B94" s="86">
        <f t="shared" si="16"/>
        <v>250000</v>
      </c>
      <c r="C94" s="86">
        <v>250000</v>
      </c>
      <c r="D94" s="86">
        <v>250000</v>
      </c>
      <c r="E94" s="86">
        <v>250000</v>
      </c>
      <c r="F94" s="86">
        <v>250000</v>
      </c>
      <c r="G94" s="86">
        <v>250000</v>
      </c>
      <c r="H94" s="86">
        <v>250000</v>
      </c>
      <c r="I94" s="86">
        <v>250000</v>
      </c>
      <c r="J94" s="86">
        <v>250000</v>
      </c>
      <c r="K94" s="86">
        <v>250000</v>
      </c>
      <c r="L94" s="86">
        <v>250000</v>
      </c>
      <c r="M94" s="86">
        <v>250000</v>
      </c>
      <c r="N94" s="55">
        <v>3000000</v>
      </c>
    </row>
    <row r="95" spans="1:14" ht="28.5">
      <c r="A95" s="135" t="s">
        <v>145</v>
      </c>
      <c r="B95" s="86">
        <v>1274400</v>
      </c>
      <c r="C95" s="86">
        <v>1274400</v>
      </c>
      <c r="D95" s="86">
        <v>1890528</v>
      </c>
      <c r="E95" s="86">
        <v>1890528</v>
      </c>
      <c r="F95" s="86">
        <v>1890528</v>
      </c>
      <c r="G95" s="86">
        <v>1890528</v>
      </c>
      <c r="H95" s="86">
        <v>1890528</v>
      </c>
      <c r="I95" s="86">
        <v>1890528</v>
      </c>
      <c r="J95" s="86">
        <v>1890528</v>
      </c>
      <c r="K95" s="86">
        <v>1890528</v>
      </c>
      <c r="L95" s="86">
        <v>1890528</v>
      </c>
      <c r="M95" s="86">
        <v>1890528</v>
      </c>
      <c r="N95" s="106">
        <f>SUM(B95:M95)</f>
        <v>21454080</v>
      </c>
    </row>
    <row r="96" spans="1:14">
      <c r="A96" s="136" t="s">
        <v>146</v>
      </c>
      <c r="B96" s="93">
        <f>SUM(B87:B95)</f>
        <v>3403345.8333333335</v>
      </c>
      <c r="C96" s="93">
        <f t="shared" ref="C96:N96" si="17">SUM(C87:C95)</f>
        <v>3320012.5</v>
      </c>
      <c r="D96" s="93">
        <f t="shared" si="17"/>
        <v>3936140.5</v>
      </c>
      <c r="E96" s="93">
        <f t="shared" si="17"/>
        <v>3936140.5</v>
      </c>
      <c r="F96" s="93">
        <f t="shared" si="17"/>
        <v>3936140.5</v>
      </c>
      <c r="G96" s="93">
        <f t="shared" si="17"/>
        <v>3936140.5</v>
      </c>
      <c r="H96" s="93">
        <f t="shared" si="17"/>
        <v>3936140.5</v>
      </c>
      <c r="I96" s="93">
        <f t="shared" si="17"/>
        <v>3936140.5</v>
      </c>
      <c r="J96" s="93">
        <f t="shared" si="17"/>
        <v>3936140.5</v>
      </c>
      <c r="K96" s="93">
        <f t="shared" si="17"/>
        <v>3936140.5</v>
      </c>
      <c r="L96" s="93">
        <f t="shared" si="17"/>
        <v>3936140.5</v>
      </c>
      <c r="M96" s="93">
        <f t="shared" si="17"/>
        <v>3936140.5</v>
      </c>
      <c r="N96" s="93">
        <f t="shared" si="17"/>
        <v>49174780</v>
      </c>
    </row>
    <row r="97" spans="1:14">
      <c r="A97" s="137" t="s">
        <v>147</v>
      </c>
      <c r="B97" s="86"/>
      <c r="C97" s="86"/>
      <c r="D97" s="86"/>
      <c r="E97" s="86"/>
      <c r="F97" s="86"/>
      <c r="G97" s="86"/>
      <c r="H97" s="86"/>
      <c r="I97" s="86"/>
      <c r="J97" s="86"/>
      <c r="K97" s="86"/>
      <c r="L97" s="86"/>
      <c r="M97" s="86"/>
      <c r="N97" s="106"/>
    </row>
    <row r="98" spans="1:14">
      <c r="A98" s="132" t="s">
        <v>148</v>
      </c>
      <c r="B98" s="86">
        <f>N98/12</f>
        <v>6131602.833333333</v>
      </c>
      <c r="C98" s="86">
        <v>6131602.833333333</v>
      </c>
      <c r="D98" s="86">
        <v>6131602.833333333</v>
      </c>
      <c r="E98" s="86">
        <v>6131602.833333333</v>
      </c>
      <c r="F98" s="86">
        <v>6131602.833333333</v>
      </c>
      <c r="G98" s="86">
        <v>6131602.833333333</v>
      </c>
      <c r="H98" s="86">
        <v>6131602.833333333</v>
      </c>
      <c r="I98" s="86">
        <v>6131602.833333333</v>
      </c>
      <c r="J98" s="86">
        <v>6131602.833333333</v>
      </c>
      <c r="K98" s="86">
        <v>6131602.833333333</v>
      </c>
      <c r="L98" s="86">
        <v>6131602.833333333</v>
      </c>
      <c r="M98" s="86">
        <v>6131602.833333333</v>
      </c>
      <c r="N98" s="55">
        <v>73579234</v>
      </c>
    </row>
    <row r="99" spans="1:14">
      <c r="A99" s="132" t="s">
        <v>191</v>
      </c>
      <c r="B99" s="86">
        <f>N99/12</f>
        <v>6663195</v>
      </c>
      <c r="C99" s="86">
        <v>6663195</v>
      </c>
      <c r="D99" s="86">
        <v>6663195</v>
      </c>
      <c r="E99" s="86">
        <v>6663195</v>
      </c>
      <c r="F99" s="86">
        <v>6663195</v>
      </c>
      <c r="G99" s="86">
        <v>6663195</v>
      </c>
      <c r="H99" s="86">
        <v>6663195</v>
      </c>
      <c r="I99" s="86">
        <v>6663195</v>
      </c>
      <c r="J99" s="86">
        <v>6663195</v>
      </c>
      <c r="K99" s="86">
        <v>6663195</v>
      </c>
      <c r="L99" s="86">
        <v>6663195</v>
      </c>
      <c r="M99" s="86">
        <v>6663195</v>
      </c>
      <c r="N99" s="55">
        <v>79958340</v>
      </c>
    </row>
    <row r="100" spans="1:14">
      <c r="A100" s="138" t="s">
        <v>149</v>
      </c>
      <c r="B100" s="93">
        <f>B98+B99</f>
        <v>12794797.833333332</v>
      </c>
      <c r="C100" s="93">
        <f t="shared" ref="C100:N100" si="18">C98+C99</f>
        <v>12794797.833333332</v>
      </c>
      <c r="D100" s="93">
        <f t="shared" si="18"/>
        <v>12794797.833333332</v>
      </c>
      <c r="E100" s="93">
        <f t="shared" si="18"/>
        <v>12794797.833333332</v>
      </c>
      <c r="F100" s="93">
        <f t="shared" si="18"/>
        <v>12794797.833333332</v>
      </c>
      <c r="G100" s="93">
        <f t="shared" si="18"/>
        <v>12794797.833333332</v>
      </c>
      <c r="H100" s="93">
        <f t="shared" si="18"/>
        <v>12794797.833333332</v>
      </c>
      <c r="I100" s="93">
        <f t="shared" si="18"/>
        <v>12794797.833333332</v>
      </c>
      <c r="J100" s="93">
        <f t="shared" si="18"/>
        <v>12794797.833333332</v>
      </c>
      <c r="K100" s="93">
        <f t="shared" si="18"/>
        <v>12794797.833333332</v>
      </c>
      <c r="L100" s="93">
        <f t="shared" si="18"/>
        <v>12794797.833333332</v>
      </c>
      <c r="M100" s="93">
        <f t="shared" si="18"/>
        <v>12794797.833333332</v>
      </c>
      <c r="N100" s="93">
        <f t="shared" si="18"/>
        <v>153537574</v>
      </c>
    </row>
    <row r="101" spans="1:14">
      <c r="A101" s="139" t="s">
        <v>150</v>
      </c>
      <c r="B101" s="96">
        <f t="shared" ref="B101:N101" si="19">B100+B96+B85+B76+B49</f>
        <v>112658732.83820051</v>
      </c>
      <c r="C101" s="96">
        <f t="shared" si="19"/>
        <v>112575399.50486718</v>
      </c>
      <c r="D101" s="96">
        <f t="shared" si="19"/>
        <v>113191527.50486718</v>
      </c>
      <c r="E101" s="96">
        <f t="shared" si="19"/>
        <v>113191527.50486715</v>
      </c>
      <c r="F101" s="96">
        <f t="shared" si="19"/>
        <v>113191527.50486715</v>
      </c>
      <c r="G101" s="96">
        <f t="shared" si="19"/>
        <v>113191527.50486715</v>
      </c>
      <c r="H101" s="96">
        <f t="shared" si="19"/>
        <v>113191527.50486715</v>
      </c>
      <c r="I101" s="96">
        <f t="shared" si="19"/>
        <v>113191527.50486715</v>
      </c>
      <c r="J101" s="96">
        <f t="shared" si="19"/>
        <v>113191527.50486715</v>
      </c>
      <c r="K101" s="96">
        <f t="shared" si="19"/>
        <v>119716611.32358144</v>
      </c>
      <c r="L101" s="96">
        <f t="shared" si="19"/>
        <v>119716611.32358144</v>
      </c>
      <c r="M101" s="96">
        <f t="shared" si="19"/>
        <v>119716611.32358144</v>
      </c>
      <c r="N101" s="96">
        <f t="shared" si="19"/>
        <v>1379814675.5145488</v>
      </c>
    </row>
    <row r="102" spans="1:14">
      <c r="A102" s="140" t="s">
        <v>151</v>
      </c>
      <c r="B102" s="104">
        <f t="shared" ref="B102:N102" si="20">B41-B101</f>
        <v>32145748.272910595</v>
      </c>
      <c r="C102" s="104">
        <f t="shared" si="20"/>
        <v>47349164.939577237</v>
      </c>
      <c r="D102" s="104">
        <f t="shared" si="20"/>
        <v>46733036.939577237</v>
      </c>
      <c r="E102" s="104">
        <f t="shared" si="20"/>
        <v>46733036.939577267</v>
      </c>
      <c r="F102" s="104">
        <f t="shared" si="20"/>
        <v>65240999.161799476</v>
      </c>
      <c r="G102" s="104">
        <f t="shared" si="20"/>
        <v>65240999.161799476</v>
      </c>
      <c r="H102" s="104">
        <f t="shared" si="20"/>
        <v>65240999.161799476</v>
      </c>
      <c r="I102" s="104">
        <f t="shared" si="20"/>
        <v>65240999.161799476</v>
      </c>
      <c r="J102" s="104">
        <f t="shared" si="20"/>
        <v>78240999.161799476</v>
      </c>
      <c r="K102" s="104">
        <f t="shared" si="20"/>
        <v>83340915.343085185</v>
      </c>
      <c r="L102" s="104">
        <f t="shared" si="20"/>
        <v>83340915.343085185</v>
      </c>
      <c r="M102" s="104">
        <f t="shared" si="20"/>
        <v>83340915.343085185</v>
      </c>
      <c r="N102" s="104">
        <f t="shared" si="20"/>
        <v>598785757.81878448</v>
      </c>
    </row>
    <row r="103" spans="1:14">
      <c r="A103" s="128" t="s">
        <v>152</v>
      </c>
      <c r="B103" s="86"/>
      <c r="C103" s="86"/>
      <c r="D103" s="86"/>
      <c r="E103" s="86"/>
      <c r="F103" s="86"/>
      <c r="G103" s="86"/>
      <c r="H103" s="86"/>
      <c r="I103" s="86"/>
      <c r="J103" s="86"/>
      <c r="K103" s="86"/>
      <c r="L103" s="86"/>
      <c r="M103" s="86"/>
      <c r="N103" s="106"/>
    </row>
    <row r="104" spans="1:14">
      <c r="A104" s="128" t="s">
        <v>153</v>
      </c>
      <c r="B104" s="86"/>
      <c r="C104" s="86"/>
      <c r="D104" s="86"/>
      <c r="E104" s="86"/>
      <c r="F104" s="86"/>
      <c r="G104" s="86"/>
      <c r="H104" s="86"/>
      <c r="I104" s="86"/>
      <c r="J104" s="86"/>
      <c r="K104" s="86"/>
      <c r="L104" s="86"/>
      <c r="M104" s="86"/>
      <c r="N104" s="106"/>
    </row>
    <row r="105" spans="1:14">
      <c r="A105" s="132" t="s">
        <v>154</v>
      </c>
      <c r="B105" s="86">
        <f>N105/12</f>
        <v>833333.33333333337</v>
      </c>
      <c r="C105" s="86">
        <v>833333.33333333337</v>
      </c>
      <c r="D105" s="86">
        <v>833333.33333333337</v>
      </c>
      <c r="E105" s="86">
        <v>833333.33333333337</v>
      </c>
      <c r="F105" s="86">
        <v>833333.33333333337</v>
      </c>
      <c r="G105" s="86">
        <v>833333.33333333337</v>
      </c>
      <c r="H105" s="86">
        <v>833333.33333333337</v>
      </c>
      <c r="I105" s="86">
        <v>833333.33333333337</v>
      </c>
      <c r="J105" s="86">
        <v>833333.33333333337</v>
      </c>
      <c r="K105" s="86">
        <v>833333.33333333337</v>
      </c>
      <c r="L105" s="86">
        <v>833333.33333333337</v>
      </c>
      <c r="M105" s="86">
        <v>833333.33333333337</v>
      </c>
      <c r="N105" s="55">
        <v>10000000</v>
      </c>
    </row>
    <row r="106" spans="1:14" ht="28">
      <c r="A106" s="129" t="s">
        <v>155</v>
      </c>
      <c r="B106" s="86">
        <f t="shared" ref="B106:B110" si="21">N106/12</f>
        <v>1666666.6666666667</v>
      </c>
      <c r="C106" s="86">
        <v>1666666.6666666667</v>
      </c>
      <c r="D106" s="86">
        <v>1666666.6666666667</v>
      </c>
      <c r="E106" s="86">
        <v>1666666.6666666667</v>
      </c>
      <c r="F106" s="86">
        <v>1666666.6666666667</v>
      </c>
      <c r="G106" s="86">
        <v>1666666.6666666667</v>
      </c>
      <c r="H106" s="86">
        <v>1666666.6666666667</v>
      </c>
      <c r="I106" s="86">
        <v>1666666.6666666667</v>
      </c>
      <c r="J106" s="86">
        <v>1666666.6666666667</v>
      </c>
      <c r="K106" s="86">
        <v>1666666.6666666667</v>
      </c>
      <c r="L106" s="86">
        <v>1666666.6666666667</v>
      </c>
      <c r="M106" s="86">
        <v>1666666.6666666667</v>
      </c>
      <c r="N106" s="55">
        <v>20000000</v>
      </c>
    </row>
    <row r="107" spans="1:14" ht="42">
      <c r="A107" s="129" t="s">
        <v>296</v>
      </c>
      <c r="B107" s="86">
        <v>33719660.75</v>
      </c>
      <c r="C107" s="86">
        <v>33719660.75</v>
      </c>
      <c r="D107" s="86">
        <v>33719660.75</v>
      </c>
      <c r="E107" s="86">
        <v>33719660.75</v>
      </c>
      <c r="F107" s="86"/>
      <c r="G107" s="86"/>
      <c r="H107" s="86"/>
      <c r="I107" s="86"/>
      <c r="J107" s="86"/>
      <c r="K107" s="86"/>
      <c r="L107" s="86"/>
      <c r="M107" s="86"/>
      <c r="N107" s="55">
        <f>SUM(B107:M107)</f>
        <v>134878643</v>
      </c>
    </row>
    <row r="108" spans="1:14">
      <c r="A108" s="129" t="s">
        <v>156</v>
      </c>
      <c r="B108" s="86">
        <f t="shared" si="21"/>
        <v>4166666.6666666665</v>
      </c>
      <c r="C108" s="86">
        <v>4166666.6666666665</v>
      </c>
      <c r="D108" s="86">
        <v>4166666.6666666665</v>
      </c>
      <c r="E108" s="86">
        <v>4166666.6666666665</v>
      </c>
      <c r="F108" s="86">
        <v>4166666.6666666665</v>
      </c>
      <c r="G108" s="86">
        <v>4166666.6666666665</v>
      </c>
      <c r="H108" s="86">
        <v>4166666.6666666665</v>
      </c>
      <c r="I108" s="86">
        <v>4166666.6666666665</v>
      </c>
      <c r="J108" s="86">
        <v>4166666.6666666665</v>
      </c>
      <c r="K108" s="86">
        <v>4166666.6666666665</v>
      </c>
      <c r="L108" s="86">
        <v>4166666.6666666665</v>
      </c>
      <c r="M108" s="86">
        <v>4166666.6666666665</v>
      </c>
      <c r="N108" s="55">
        <v>50000000</v>
      </c>
    </row>
    <row r="109" spans="1:14">
      <c r="A109" s="141" t="s">
        <v>157</v>
      </c>
      <c r="B109" s="86">
        <f t="shared" si="21"/>
        <v>9805883.1388888881</v>
      </c>
      <c r="C109" s="86">
        <v>9805883.1388888881</v>
      </c>
      <c r="D109" s="86">
        <v>9805883.1388888881</v>
      </c>
      <c r="E109" s="86">
        <v>9805883.1388888881</v>
      </c>
      <c r="F109" s="86">
        <v>9805883.1388888881</v>
      </c>
      <c r="G109" s="86">
        <v>9805883.1388888881</v>
      </c>
      <c r="H109" s="86">
        <v>9805883.1388888881</v>
      </c>
      <c r="I109" s="86">
        <v>9805883.1388888881</v>
      </c>
      <c r="J109" s="86">
        <v>9805883.1388888881</v>
      </c>
      <c r="K109" s="86">
        <v>9805883.1388888881</v>
      </c>
      <c r="L109" s="86">
        <v>9805883.1388888881</v>
      </c>
      <c r="M109" s="86">
        <v>9805883.1388888881</v>
      </c>
      <c r="N109" s="106">
        <f>N25*20%+40091131</f>
        <v>117670597.66666666</v>
      </c>
    </row>
    <row r="110" spans="1:14">
      <c r="A110" s="129" t="s">
        <v>269</v>
      </c>
      <c r="B110" s="86">
        <f t="shared" si="21"/>
        <v>0</v>
      </c>
      <c r="C110" s="86"/>
      <c r="D110" s="86"/>
      <c r="E110" s="86"/>
      <c r="F110" s="86"/>
      <c r="G110" s="86"/>
      <c r="H110" s="86"/>
      <c r="I110" s="86"/>
      <c r="J110" s="86"/>
      <c r="K110" s="86"/>
      <c r="L110" s="86"/>
      <c r="M110" s="86"/>
      <c r="N110" s="106"/>
    </row>
    <row r="111" spans="1:14">
      <c r="A111" s="135" t="s">
        <v>158</v>
      </c>
      <c r="B111" s="86"/>
      <c r="C111" s="86"/>
      <c r="D111" s="86"/>
      <c r="E111" s="86"/>
      <c r="F111" s="86"/>
      <c r="G111" s="86"/>
      <c r="H111" s="86"/>
      <c r="I111" s="86"/>
      <c r="J111" s="86">
        <f>N111</f>
        <v>2600000</v>
      </c>
      <c r="K111" s="86"/>
      <c r="L111" s="86"/>
      <c r="M111" s="86"/>
      <c r="N111" s="55">
        <f>260*10000</f>
        <v>2600000</v>
      </c>
    </row>
    <row r="112" spans="1:14" s="1" customFormat="1">
      <c r="A112" s="142" t="s">
        <v>159</v>
      </c>
      <c r="B112" s="94">
        <f t="shared" ref="B112:N112" si="22">SUM(B105:B111)</f>
        <v>50192210.555555552</v>
      </c>
      <c r="C112" s="94">
        <f t="shared" si="22"/>
        <v>50192210.555555552</v>
      </c>
      <c r="D112" s="94">
        <f t="shared" si="22"/>
        <v>50192210.555555552</v>
      </c>
      <c r="E112" s="94">
        <f t="shared" si="22"/>
        <v>50192210.555555552</v>
      </c>
      <c r="F112" s="94">
        <f t="shared" si="22"/>
        <v>16472549.805555554</v>
      </c>
      <c r="G112" s="94">
        <f t="shared" si="22"/>
        <v>16472549.805555554</v>
      </c>
      <c r="H112" s="94">
        <f t="shared" si="22"/>
        <v>16472549.805555554</v>
      </c>
      <c r="I112" s="94">
        <f t="shared" si="22"/>
        <v>16472549.805555554</v>
      </c>
      <c r="J112" s="94">
        <f t="shared" si="22"/>
        <v>19072549.805555552</v>
      </c>
      <c r="K112" s="94">
        <f t="shared" si="22"/>
        <v>16472549.805555554</v>
      </c>
      <c r="L112" s="94">
        <f t="shared" si="22"/>
        <v>16472549.805555554</v>
      </c>
      <c r="M112" s="94">
        <f t="shared" si="22"/>
        <v>16472549.805555554</v>
      </c>
      <c r="N112" s="94">
        <f t="shared" si="22"/>
        <v>335149240.66666663</v>
      </c>
    </row>
    <row r="113" spans="1:14">
      <c r="A113" s="143" t="s">
        <v>160</v>
      </c>
      <c r="N113" s="106"/>
    </row>
    <row r="114" spans="1:14">
      <c r="A114" s="144" t="s">
        <v>161</v>
      </c>
      <c r="B114" s="86"/>
      <c r="C114" s="86"/>
      <c r="D114" s="86"/>
      <c r="E114" s="86"/>
      <c r="F114" s="86"/>
      <c r="G114" s="86"/>
      <c r="H114" s="86"/>
      <c r="I114" s="86"/>
      <c r="J114" s="86"/>
      <c r="K114" s="86"/>
      <c r="L114" s="86"/>
      <c r="M114" s="86"/>
      <c r="N114" s="106"/>
    </row>
    <row r="115" spans="1:14">
      <c r="A115" s="144" t="s">
        <v>162</v>
      </c>
      <c r="B115" s="86"/>
      <c r="C115" s="86"/>
      <c r="D115" s="86"/>
      <c r="E115" s="86"/>
      <c r="F115" s="86"/>
      <c r="G115" s="86"/>
      <c r="H115" s="86"/>
      <c r="I115" s="86"/>
      <c r="J115" s="86"/>
      <c r="K115" s="86"/>
      <c r="L115" s="86"/>
      <c r="M115" s="86"/>
      <c r="N115" s="106"/>
    </row>
    <row r="116" spans="1:14">
      <c r="A116" s="144" t="s">
        <v>163</v>
      </c>
      <c r="B116" s="87">
        <f>N116/12</f>
        <v>4903054.916666667</v>
      </c>
      <c r="C116" s="87">
        <v>4903054.916666667</v>
      </c>
      <c r="D116" s="87">
        <v>4903054.916666667</v>
      </c>
      <c r="E116" s="87">
        <v>4903054.916666667</v>
      </c>
      <c r="F116" s="87">
        <v>4903054.916666667</v>
      </c>
      <c r="G116" s="87">
        <v>4903054.916666667</v>
      </c>
      <c r="H116" s="87">
        <v>4903054.916666667</v>
      </c>
      <c r="I116" s="87">
        <v>4903054.916666667</v>
      </c>
      <c r="J116" s="87">
        <v>4903054.916666667</v>
      </c>
      <c r="K116" s="87">
        <v>4903054.916666667</v>
      </c>
      <c r="L116" s="87">
        <v>4903054.916666667</v>
      </c>
      <c r="M116" s="87">
        <v>4903054.916666667</v>
      </c>
      <c r="N116" s="55">
        <v>58836659</v>
      </c>
    </row>
    <row r="117" spans="1:14">
      <c r="A117" s="144" t="s">
        <v>192</v>
      </c>
      <c r="B117" s="87">
        <f>N117/12</f>
        <v>5565350</v>
      </c>
      <c r="C117" s="87">
        <v>5565350</v>
      </c>
      <c r="D117" s="87">
        <v>5565350</v>
      </c>
      <c r="E117" s="87">
        <v>5565350</v>
      </c>
      <c r="F117" s="87">
        <v>5565350</v>
      </c>
      <c r="G117" s="87">
        <v>5565350</v>
      </c>
      <c r="H117" s="87">
        <v>5565350</v>
      </c>
      <c r="I117" s="87">
        <v>5565350</v>
      </c>
      <c r="J117" s="87">
        <v>5565350</v>
      </c>
      <c r="K117" s="87">
        <v>5565350</v>
      </c>
      <c r="L117" s="87">
        <v>5565350</v>
      </c>
      <c r="M117" s="87">
        <v>5565350</v>
      </c>
      <c r="N117" s="55">
        <v>66784200</v>
      </c>
    </row>
    <row r="118" spans="1:14">
      <c r="A118" s="144" t="s">
        <v>193</v>
      </c>
      <c r="B118" s="87">
        <v>6193555</v>
      </c>
      <c r="C118" s="87">
        <v>6193555</v>
      </c>
      <c r="D118" s="87">
        <v>6193555</v>
      </c>
      <c r="E118" s="87">
        <v>6193555</v>
      </c>
      <c r="F118" s="87">
        <v>6193555</v>
      </c>
      <c r="G118" s="87">
        <v>6193555</v>
      </c>
      <c r="H118" s="87">
        <v>6193555</v>
      </c>
      <c r="I118" s="87">
        <v>6193555</v>
      </c>
      <c r="J118" s="87">
        <v>6193555</v>
      </c>
      <c r="K118" s="87">
        <v>6193555</v>
      </c>
      <c r="L118" s="87">
        <v>6193555</v>
      </c>
      <c r="M118" s="87">
        <v>0</v>
      </c>
      <c r="N118" s="55">
        <f>SUM(B118:M118)</f>
        <v>68129105</v>
      </c>
    </row>
    <row r="119" spans="1:14">
      <c r="A119" s="145" t="s">
        <v>164</v>
      </c>
      <c r="B119" s="85">
        <f>B114+B115+B116+B117+B118</f>
        <v>16661959.916666668</v>
      </c>
      <c r="C119" s="85">
        <f t="shared" ref="C119:M119" si="23">C114+C115+C116+C117+C118</f>
        <v>16661959.916666668</v>
      </c>
      <c r="D119" s="85">
        <f t="shared" si="23"/>
        <v>16661959.916666668</v>
      </c>
      <c r="E119" s="85">
        <f t="shared" si="23"/>
        <v>16661959.916666668</v>
      </c>
      <c r="F119" s="85">
        <f t="shared" si="23"/>
        <v>16661959.916666668</v>
      </c>
      <c r="G119" s="85">
        <f t="shared" si="23"/>
        <v>16661959.916666668</v>
      </c>
      <c r="H119" s="85">
        <f t="shared" si="23"/>
        <v>16661959.916666668</v>
      </c>
      <c r="I119" s="85">
        <f t="shared" si="23"/>
        <v>16661959.916666668</v>
      </c>
      <c r="J119" s="85">
        <f t="shared" si="23"/>
        <v>16661959.916666668</v>
      </c>
      <c r="K119" s="85">
        <f t="shared" si="23"/>
        <v>16661959.916666668</v>
      </c>
      <c r="L119" s="85">
        <f t="shared" si="23"/>
        <v>16661959.916666668</v>
      </c>
      <c r="M119" s="85">
        <f t="shared" si="23"/>
        <v>10468404.916666668</v>
      </c>
      <c r="N119" s="85">
        <f>N114+N115+N116+N117+N118</f>
        <v>193749964</v>
      </c>
    </row>
    <row r="120" spans="1:14">
      <c r="A120" s="143" t="s">
        <v>165</v>
      </c>
      <c r="B120" s="88"/>
      <c r="C120" s="88"/>
      <c r="D120" s="88"/>
      <c r="E120" s="88"/>
      <c r="F120" s="88"/>
      <c r="G120" s="88"/>
      <c r="H120" s="88"/>
      <c r="I120" s="88"/>
      <c r="J120" s="88"/>
      <c r="K120" s="88"/>
      <c r="L120" s="88"/>
      <c r="M120" s="88"/>
      <c r="N120" s="88"/>
    </row>
    <row r="121" spans="1:14" ht="28">
      <c r="A121" s="144" t="s">
        <v>270</v>
      </c>
      <c r="B121" s="87">
        <v>4659956</v>
      </c>
      <c r="C121" s="87">
        <v>4659956</v>
      </c>
      <c r="D121" s="87">
        <v>4659956</v>
      </c>
      <c r="E121" s="87">
        <v>4659956</v>
      </c>
      <c r="F121" s="87">
        <v>4659956</v>
      </c>
      <c r="G121" s="87">
        <v>4659956</v>
      </c>
      <c r="H121" s="87">
        <v>4659956</v>
      </c>
      <c r="I121" s="87">
        <v>4659956</v>
      </c>
      <c r="J121" s="87">
        <v>4659956</v>
      </c>
      <c r="K121" s="87">
        <v>4659956</v>
      </c>
      <c r="L121" s="87">
        <v>4659956</v>
      </c>
      <c r="M121" s="87">
        <v>4659956</v>
      </c>
      <c r="N121" s="55">
        <f>SUM(B121:M121)</f>
        <v>55919472</v>
      </c>
    </row>
    <row r="122" spans="1:14">
      <c r="A122" s="146" t="s">
        <v>166</v>
      </c>
      <c r="B122" s="97">
        <f>N122/12</f>
        <v>3333333.3333333335</v>
      </c>
      <c r="C122" s="97">
        <v>3333333.3333333335</v>
      </c>
      <c r="D122" s="97">
        <v>3333333.3333333335</v>
      </c>
      <c r="E122" s="97">
        <v>3333333.3333333335</v>
      </c>
      <c r="F122" s="97">
        <v>3333333.3333333335</v>
      </c>
      <c r="G122" s="97">
        <v>3333333.3333333335</v>
      </c>
      <c r="H122" s="97">
        <v>3333333.3333333335</v>
      </c>
      <c r="I122" s="97">
        <v>3333333.3333333335</v>
      </c>
      <c r="J122" s="97">
        <v>3333333.3333333335</v>
      </c>
      <c r="K122" s="97">
        <v>3333333.3333333335</v>
      </c>
      <c r="L122" s="97">
        <v>3333333.3333333335</v>
      </c>
      <c r="M122" s="97">
        <v>3333333.3333333335</v>
      </c>
      <c r="N122" s="55">
        <v>40000000</v>
      </c>
    </row>
    <row r="123" spans="1:14">
      <c r="A123" s="146" t="s">
        <v>167</v>
      </c>
      <c r="B123" s="97">
        <f t="shared" ref="B123:B126" si="24">N123/12</f>
        <v>803358</v>
      </c>
      <c r="C123" s="97">
        <v>803358</v>
      </c>
      <c r="D123" s="97">
        <v>803358</v>
      </c>
      <c r="E123" s="97">
        <v>803358</v>
      </c>
      <c r="F123" s="97">
        <v>803358</v>
      </c>
      <c r="G123" s="97">
        <v>803358</v>
      </c>
      <c r="H123" s="97">
        <v>803358</v>
      </c>
      <c r="I123" s="97">
        <v>803358</v>
      </c>
      <c r="J123" s="97">
        <v>803358</v>
      </c>
      <c r="K123" s="97">
        <v>803358</v>
      </c>
      <c r="L123" s="97">
        <v>803358</v>
      </c>
      <c r="M123" s="97">
        <v>803358</v>
      </c>
      <c r="N123" s="55">
        <v>9640296</v>
      </c>
    </row>
    <row r="124" spans="1:14">
      <c r="A124" s="146" t="s">
        <v>168</v>
      </c>
      <c r="B124" s="97">
        <f t="shared" si="24"/>
        <v>4166666.6666666665</v>
      </c>
      <c r="C124" s="97">
        <v>4166666.6666666665</v>
      </c>
      <c r="D124" s="97">
        <v>4166666.6666666665</v>
      </c>
      <c r="E124" s="97">
        <v>4166666.6666666665</v>
      </c>
      <c r="F124" s="97">
        <v>4166666.6666666665</v>
      </c>
      <c r="G124" s="97">
        <v>4166666.6666666665</v>
      </c>
      <c r="H124" s="97">
        <v>4166666.6666666665</v>
      </c>
      <c r="I124" s="97">
        <v>4166666.6666666665</v>
      </c>
      <c r="J124" s="97">
        <v>4166666.6666666665</v>
      </c>
      <c r="K124" s="97">
        <v>4166666.6666666665</v>
      </c>
      <c r="L124" s="97">
        <v>4166666.6666666665</v>
      </c>
      <c r="M124" s="97">
        <v>4166666.6666666665</v>
      </c>
      <c r="N124" s="55">
        <v>50000000</v>
      </c>
    </row>
    <row r="125" spans="1:14">
      <c r="A125" s="147" t="s">
        <v>169</v>
      </c>
      <c r="B125" s="97">
        <f t="shared" si="24"/>
        <v>1763603.5770833327</v>
      </c>
      <c r="C125" s="97">
        <v>1763603.5770833327</v>
      </c>
      <c r="D125" s="97">
        <v>1763603.5770833327</v>
      </c>
      <c r="E125" s="97">
        <v>1763603.5770833327</v>
      </c>
      <c r="F125" s="97">
        <v>1763603.5770833327</v>
      </c>
      <c r="G125" s="97">
        <v>1763603.5770833327</v>
      </c>
      <c r="H125" s="97">
        <v>1763603.5770833327</v>
      </c>
      <c r="I125" s="97">
        <v>1763603.5770833327</v>
      </c>
      <c r="J125" s="97">
        <v>1763603.5770833327</v>
      </c>
      <c r="K125" s="97">
        <v>1763603.5770833327</v>
      </c>
      <c r="L125" s="97">
        <v>1763603.5770833327</v>
      </c>
      <c r="M125" s="97">
        <v>1763603.5770833327</v>
      </c>
      <c r="N125" s="55">
        <v>21163242.924999993</v>
      </c>
    </row>
    <row r="126" spans="1:14">
      <c r="A126" s="147" t="s">
        <v>170</v>
      </c>
      <c r="B126" s="97">
        <f t="shared" si="24"/>
        <v>660942.58333333337</v>
      </c>
      <c r="C126" s="97">
        <v>660942.58333333337</v>
      </c>
      <c r="D126" s="97">
        <v>660942.58333333337</v>
      </c>
      <c r="E126" s="97">
        <v>660942.58333333337</v>
      </c>
      <c r="F126" s="97">
        <v>660942.58333333337</v>
      </c>
      <c r="G126" s="97">
        <v>660942.58333333337</v>
      </c>
      <c r="H126" s="97">
        <v>660942.58333333337</v>
      </c>
      <c r="I126" s="97">
        <v>660942.58333333337</v>
      </c>
      <c r="J126" s="97">
        <v>660942.58333333337</v>
      </c>
      <c r="K126" s="97">
        <v>660942.58333333337</v>
      </c>
      <c r="L126" s="97">
        <v>660942.58333333337</v>
      </c>
      <c r="M126" s="97">
        <v>660942.58333333337</v>
      </c>
      <c r="N126" s="55">
        <v>7931311</v>
      </c>
    </row>
    <row r="127" spans="1:14">
      <c r="A127" s="149" t="s">
        <v>171</v>
      </c>
      <c r="B127" s="150">
        <f>SUM(B121:B126)</f>
        <v>15387860.160416666</v>
      </c>
      <c r="C127" s="150">
        <f t="shared" ref="C127:N127" si="25">SUM(C121:C126)</f>
        <v>15387860.160416666</v>
      </c>
      <c r="D127" s="150">
        <f t="shared" si="25"/>
        <v>15387860.160416666</v>
      </c>
      <c r="E127" s="150">
        <f t="shared" si="25"/>
        <v>15387860.160416666</v>
      </c>
      <c r="F127" s="150">
        <f t="shared" si="25"/>
        <v>15387860.160416666</v>
      </c>
      <c r="G127" s="150">
        <f t="shared" si="25"/>
        <v>15387860.160416666</v>
      </c>
      <c r="H127" s="150">
        <f t="shared" si="25"/>
        <v>15387860.160416666</v>
      </c>
      <c r="I127" s="150">
        <f t="shared" si="25"/>
        <v>15387860.160416666</v>
      </c>
      <c r="J127" s="150">
        <f t="shared" si="25"/>
        <v>15387860.160416666</v>
      </c>
      <c r="K127" s="150">
        <f t="shared" si="25"/>
        <v>15387860.160416666</v>
      </c>
      <c r="L127" s="150">
        <f t="shared" si="25"/>
        <v>15387860.160416666</v>
      </c>
      <c r="M127" s="150">
        <f t="shared" si="25"/>
        <v>15387860.160416666</v>
      </c>
      <c r="N127" s="153">
        <f t="shared" si="25"/>
        <v>184654321.92499998</v>
      </c>
    </row>
    <row r="128" spans="1:14">
      <c r="A128" s="151" t="s">
        <v>172</v>
      </c>
      <c r="B128" s="152">
        <f>B102-B112-B119-B127</f>
        <v>-50096282.359728292</v>
      </c>
      <c r="C128" s="152">
        <f t="shared" ref="C128:M128" si="26">C102-C112-C119-C127</f>
        <v>-34892865.69306165</v>
      </c>
      <c r="D128" s="152">
        <f t="shared" si="26"/>
        <v>-35508993.69306165</v>
      </c>
      <c r="E128" s="152">
        <f t="shared" si="26"/>
        <v>-35508993.69306162</v>
      </c>
      <c r="F128" s="152">
        <f t="shared" si="26"/>
        <v>16718629.279160589</v>
      </c>
      <c r="G128" s="152">
        <f t="shared" si="26"/>
        <v>16718629.279160589</v>
      </c>
      <c r="H128" s="152">
        <f t="shared" si="26"/>
        <v>16718629.279160589</v>
      </c>
      <c r="I128" s="152">
        <f t="shared" si="26"/>
        <v>16718629.279160589</v>
      </c>
      <c r="J128" s="152">
        <f t="shared" si="26"/>
        <v>27118629.279160585</v>
      </c>
      <c r="K128" s="152">
        <f t="shared" si="26"/>
        <v>34818545.460446298</v>
      </c>
      <c r="L128" s="152">
        <f t="shared" si="26"/>
        <v>34818545.460446298</v>
      </c>
      <c r="M128" s="152">
        <f t="shared" si="26"/>
        <v>41012100.460446298</v>
      </c>
      <c r="N128" s="154">
        <f>N102-N112-N119-N127</f>
        <v>-114767768.77288213</v>
      </c>
    </row>
    <row r="129" spans="1:14">
      <c r="A129" s="147" t="s">
        <v>173</v>
      </c>
      <c r="B129" s="106">
        <v>224364634</v>
      </c>
    </row>
    <row r="130" spans="1:14">
      <c r="A130" s="148" t="s">
        <v>174</v>
      </c>
      <c r="B130" s="156"/>
      <c r="C130" s="156"/>
      <c r="D130" s="156"/>
      <c r="E130" s="156"/>
      <c r="F130" s="156"/>
      <c r="G130" s="156"/>
      <c r="H130" s="156"/>
      <c r="I130" s="156"/>
      <c r="J130" s="156"/>
      <c r="K130" s="156"/>
      <c r="L130" s="156"/>
      <c r="M130" s="156"/>
      <c r="N130" s="155">
        <f>N128+B129</f>
        <v>109596865.22711787</v>
      </c>
    </row>
  </sheetData>
  <mergeCells count="2">
    <mergeCell ref="B8:M8"/>
    <mergeCell ref="N8:Q8"/>
  </mergeCells>
  <phoneticPr fontId="9" type="noConversion"/>
  <pageMargins left="0.7" right="0.7" top="0.75" bottom="0.75" header="0.3" footer="0.3"/>
  <pageSetup scale="60" orientation="landscape" r:id="rId1"/>
  <ignoredErrors>
    <ignoredError sqref="N54 N58" formula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32"/>
  <sheetViews>
    <sheetView topLeftCell="A7" workbookViewId="0">
      <selection activeCell="A3" sqref="A3:O6"/>
    </sheetView>
  </sheetViews>
  <sheetFormatPr defaultRowHeight="14.5"/>
  <cols>
    <col min="1" max="1" width="49.81640625" style="114" customWidth="1"/>
    <col min="2" max="2" width="12.54296875" hidden="1" customWidth="1"/>
    <col min="3" max="13" width="12.1796875" hidden="1" customWidth="1"/>
    <col min="14" max="14" width="17.81640625" style="1" customWidth="1"/>
    <col min="15" max="15" width="17.453125" customWidth="1"/>
    <col min="16" max="16" width="15.26953125" bestFit="1" customWidth="1"/>
    <col min="17" max="17" width="11.81640625" bestFit="1" customWidth="1"/>
    <col min="18" max="18" width="12.6328125" bestFit="1" customWidth="1"/>
    <col min="19" max="19" width="11" bestFit="1" customWidth="1"/>
  </cols>
  <sheetData>
    <row r="1" spans="1:17" ht="15.5">
      <c r="A1" s="245" t="s">
        <v>333</v>
      </c>
      <c r="B1" s="245"/>
      <c r="C1" s="245"/>
      <c r="D1" s="245"/>
      <c r="E1" s="245"/>
      <c r="F1" s="245"/>
      <c r="G1" s="245"/>
      <c r="H1" s="245"/>
      <c r="I1" s="245"/>
      <c r="J1" s="245"/>
      <c r="K1" s="245"/>
      <c r="L1" s="245"/>
      <c r="M1" s="245"/>
      <c r="N1" s="245"/>
      <c r="O1" s="245"/>
      <c r="P1" s="245"/>
      <c r="Q1" s="245"/>
    </row>
    <row r="2" spans="1:17" ht="15.5">
      <c r="A2" s="197"/>
      <c r="B2" s="197"/>
      <c r="C2" s="197"/>
      <c r="D2" s="197"/>
      <c r="E2" s="197"/>
      <c r="F2" s="197"/>
      <c r="G2" s="197"/>
      <c r="H2" s="197"/>
      <c r="I2" s="197"/>
      <c r="J2" s="197"/>
      <c r="K2" s="197"/>
      <c r="L2" s="197"/>
      <c r="M2" s="197"/>
      <c r="N2" s="197"/>
      <c r="O2" s="197"/>
      <c r="P2" s="197"/>
      <c r="Q2" s="197"/>
    </row>
    <row r="3" spans="1:17" ht="15.5">
      <c r="A3" s="197"/>
      <c r="B3" s="197"/>
      <c r="C3" s="197"/>
      <c r="D3" s="197"/>
      <c r="E3" s="197"/>
      <c r="F3" s="197"/>
      <c r="G3" s="197"/>
      <c r="H3" s="197"/>
      <c r="I3" s="197"/>
      <c r="J3" s="197"/>
      <c r="K3" s="197"/>
      <c r="L3" s="197"/>
      <c r="M3" s="197"/>
      <c r="N3" s="203" t="s">
        <v>331</v>
      </c>
      <c r="O3" s="204" t="s">
        <v>332</v>
      </c>
      <c r="P3" s="197"/>
      <c r="Q3" s="197"/>
    </row>
    <row r="4" spans="1:17">
      <c r="A4" s="201" t="s">
        <v>328</v>
      </c>
      <c r="B4" s="5"/>
      <c r="C4" s="5"/>
      <c r="D4" s="5"/>
      <c r="E4" s="5"/>
      <c r="F4" s="5"/>
      <c r="G4" s="5"/>
      <c r="H4" s="5"/>
      <c r="I4" s="5"/>
      <c r="J4" s="5"/>
      <c r="K4" s="4"/>
      <c r="L4" s="202"/>
      <c r="N4" s="219">
        <v>2492</v>
      </c>
      <c r="O4" s="217"/>
    </row>
    <row r="5" spans="1:17">
      <c r="A5" s="201" t="s">
        <v>329</v>
      </c>
      <c r="B5" s="5"/>
      <c r="C5" s="5"/>
      <c r="D5" s="5"/>
      <c r="E5" s="5"/>
      <c r="F5" s="5"/>
      <c r="G5" s="5"/>
      <c r="H5" s="5"/>
      <c r="I5" s="5"/>
      <c r="J5" s="5"/>
      <c r="K5" s="4"/>
      <c r="L5" s="202"/>
      <c r="N5" s="219">
        <v>3442</v>
      </c>
      <c r="O5" s="217"/>
    </row>
    <row r="6" spans="1:17" ht="15.5">
      <c r="A6" s="196" t="s">
        <v>330</v>
      </c>
      <c r="B6" s="243" t="s">
        <v>297</v>
      </c>
      <c r="C6" s="243"/>
      <c r="D6" s="243"/>
      <c r="E6" s="243"/>
      <c r="F6" s="243"/>
      <c r="G6" s="243"/>
      <c r="H6" s="243"/>
      <c r="I6" s="243"/>
      <c r="J6" s="243"/>
      <c r="K6" s="243"/>
      <c r="L6" s="243"/>
      <c r="M6" s="243"/>
      <c r="N6" s="220">
        <f>N5-N4</f>
        <v>950</v>
      </c>
      <c r="O6" s="218">
        <f>N6/N4</f>
        <v>0.3812199036918138</v>
      </c>
      <c r="P6" s="198"/>
      <c r="Q6" s="198"/>
    </row>
    <row r="7" spans="1:17" ht="15.5">
      <c r="A7" s="196"/>
      <c r="B7" s="158"/>
      <c r="C7" s="158"/>
      <c r="D7" s="158"/>
      <c r="E7" s="158"/>
      <c r="F7" s="158"/>
      <c r="G7" s="158"/>
      <c r="H7" s="158"/>
      <c r="I7" s="158"/>
      <c r="J7" s="158"/>
      <c r="K7" s="158"/>
      <c r="L7" s="158"/>
      <c r="M7" s="158"/>
      <c r="N7" s="199"/>
      <c r="O7" s="200"/>
      <c r="P7" s="198"/>
      <c r="Q7" s="198"/>
    </row>
    <row r="8" spans="1:17" ht="26">
      <c r="A8" s="206" t="s">
        <v>334</v>
      </c>
      <c r="B8" s="6" t="s">
        <v>10</v>
      </c>
      <c r="C8" s="6" t="s">
        <v>11</v>
      </c>
      <c r="D8" s="6" t="s">
        <v>12</v>
      </c>
      <c r="E8" s="6" t="s">
        <v>13</v>
      </c>
      <c r="F8" s="6" t="s">
        <v>14</v>
      </c>
      <c r="G8" s="6" t="s">
        <v>15</v>
      </c>
      <c r="H8" s="6" t="s">
        <v>16</v>
      </c>
      <c r="I8" s="6" t="s">
        <v>17</v>
      </c>
      <c r="J8" s="6" t="s">
        <v>18</v>
      </c>
      <c r="K8" s="6" t="s">
        <v>19</v>
      </c>
      <c r="L8" s="6" t="s">
        <v>20</v>
      </c>
      <c r="M8" s="6" t="s">
        <v>21</v>
      </c>
      <c r="N8" s="161" t="s">
        <v>325</v>
      </c>
      <c r="O8" s="161" t="s">
        <v>324</v>
      </c>
      <c r="P8" s="162" t="s">
        <v>304</v>
      </c>
      <c r="Q8" s="162" t="s">
        <v>326</v>
      </c>
    </row>
    <row r="9" spans="1:17">
      <c r="A9" s="205"/>
      <c r="B9" s="7" t="s">
        <v>0</v>
      </c>
      <c r="C9" s="7" t="s">
        <v>0</v>
      </c>
      <c r="D9" s="7" t="s">
        <v>0</v>
      </c>
      <c r="E9" s="7" t="s">
        <v>0</v>
      </c>
      <c r="F9" s="7" t="s">
        <v>0</v>
      </c>
      <c r="G9" s="7" t="s">
        <v>0</v>
      </c>
      <c r="H9" s="7" t="s">
        <v>0</v>
      </c>
      <c r="I9" s="7" t="s">
        <v>0</v>
      </c>
      <c r="J9" s="7" t="s">
        <v>0</v>
      </c>
      <c r="K9" s="7" t="s">
        <v>0</v>
      </c>
      <c r="L9" s="7" t="s">
        <v>0</v>
      </c>
      <c r="M9" s="7" t="s">
        <v>0</v>
      </c>
      <c r="N9" s="163" t="s">
        <v>0</v>
      </c>
      <c r="O9" s="163" t="s">
        <v>0</v>
      </c>
      <c r="P9" s="11"/>
      <c r="Q9" s="11"/>
    </row>
    <row r="10" spans="1:17">
      <c r="A10" s="207" t="s">
        <v>116</v>
      </c>
      <c r="B10" s="83"/>
      <c r="C10" s="83"/>
      <c r="D10" s="83"/>
      <c r="E10" s="83"/>
      <c r="F10" s="83"/>
      <c r="G10" s="83"/>
      <c r="H10" s="83"/>
      <c r="I10" s="83"/>
      <c r="J10" s="83"/>
      <c r="K10" s="83"/>
      <c r="L10" s="83"/>
      <c r="M10" s="83"/>
      <c r="N10" s="164">
        <f>'INCOME DETAILS'!Q121</f>
        <v>3997</v>
      </c>
      <c r="O10" s="13">
        <v>3442</v>
      </c>
      <c r="P10" s="165">
        <f>O10-N10</f>
        <v>-555</v>
      </c>
      <c r="Q10" s="166">
        <f>O10/N10</f>
        <v>0.86114585939454591</v>
      </c>
    </row>
    <row r="11" spans="1:17">
      <c r="A11" s="117" t="s">
        <v>1</v>
      </c>
      <c r="B11" s="82"/>
      <c r="C11" s="82"/>
      <c r="D11" s="82"/>
      <c r="E11" s="82"/>
      <c r="F11" s="82"/>
      <c r="G11" s="82"/>
      <c r="H11" s="82"/>
      <c r="I11" s="82"/>
      <c r="J11" s="82"/>
      <c r="K11" s="82"/>
      <c r="L11" s="82"/>
      <c r="M11" s="82"/>
      <c r="N11" s="167"/>
      <c r="O11" s="167"/>
      <c r="P11" s="167"/>
      <c r="Q11" s="167"/>
    </row>
    <row r="12" spans="1:17" hidden="1">
      <c r="A12" s="208" t="s">
        <v>2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168"/>
      <c r="O12" s="168"/>
      <c r="P12" s="168"/>
      <c r="Q12" s="168"/>
    </row>
    <row r="13" spans="1:17" hidden="1">
      <c r="A13" s="132" t="s">
        <v>101</v>
      </c>
      <c r="B13" s="87">
        <f>N13/12</f>
        <v>6041666.666666667</v>
      </c>
      <c r="C13" s="87">
        <v>6041666.666666667</v>
      </c>
      <c r="D13" s="87">
        <v>6041666.666666667</v>
      </c>
      <c r="E13" s="87">
        <v>6041666.666666667</v>
      </c>
      <c r="F13" s="87">
        <v>6041666.666666667</v>
      </c>
      <c r="G13" s="87">
        <v>6041666.666666667</v>
      </c>
      <c r="H13" s="87">
        <v>6041666.666666667</v>
      </c>
      <c r="I13" s="87">
        <v>6041666.666666667</v>
      </c>
      <c r="J13" s="87">
        <v>6041666.666666667</v>
      </c>
      <c r="K13" s="87">
        <v>6041666.666666667</v>
      </c>
      <c r="L13" s="87">
        <v>6041666.666666667</v>
      </c>
      <c r="M13" s="87">
        <v>6041666.666666667</v>
      </c>
      <c r="N13" s="185">
        <f>'INCOME DETAILS'!AB104</f>
        <v>72500000</v>
      </c>
      <c r="O13" s="160"/>
      <c r="P13" s="160"/>
      <c r="Q13" s="160"/>
    </row>
    <row r="14" spans="1:17" hidden="1">
      <c r="A14" s="132" t="s">
        <v>102</v>
      </c>
      <c r="B14" s="87">
        <f t="shared" ref="B14:B19" si="0">N14/12</f>
        <v>10250000</v>
      </c>
      <c r="C14" s="87">
        <v>12437500</v>
      </c>
      <c r="D14" s="87">
        <v>12437500</v>
      </c>
      <c r="E14" s="87">
        <v>12437500</v>
      </c>
      <c r="F14" s="87">
        <v>12437500</v>
      </c>
      <c r="G14" s="87">
        <v>12437500</v>
      </c>
      <c r="H14" s="87">
        <v>12437500</v>
      </c>
      <c r="I14" s="87">
        <v>12437500</v>
      </c>
      <c r="J14" s="87">
        <v>12437500</v>
      </c>
      <c r="K14" s="87">
        <v>12437500</v>
      </c>
      <c r="L14" s="87">
        <v>12437500</v>
      </c>
      <c r="M14" s="87">
        <v>12437500</v>
      </c>
      <c r="N14" s="185">
        <f>'INCOME DETAILS'!AB112</f>
        <v>123000000</v>
      </c>
      <c r="O14" s="160"/>
      <c r="P14" s="160"/>
      <c r="Q14" s="160"/>
    </row>
    <row r="15" spans="1:17" hidden="1">
      <c r="A15" s="132" t="s">
        <v>103</v>
      </c>
      <c r="B15" s="87">
        <f t="shared" si="0"/>
        <v>41477500</v>
      </c>
      <c r="C15" s="87">
        <v>45802500</v>
      </c>
      <c r="D15" s="87">
        <v>45802500</v>
      </c>
      <c r="E15" s="87">
        <v>45802500</v>
      </c>
      <c r="F15" s="87">
        <v>45802500</v>
      </c>
      <c r="G15" s="87">
        <v>45802500</v>
      </c>
      <c r="H15" s="87">
        <v>45802500</v>
      </c>
      <c r="I15" s="87">
        <v>45802500</v>
      </c>
      <c r="J15" s="87">
        <v>45802500</v>
      </c>
      <c r="K15" s="87">
        <v>45802500</v>
      </c>
      <c r="L15" s="87">
        <v>45802500</v>
      </c>
      <c r="M15" s="87">
        <v>45802500</v>
      </c>
      <c r="N15" s="185">
        <f>'INCOME DETAILS'!AB62</f>
        <v>497730000</v>
      </c>
      <c r="O15" s="160"/>
      <c r="P15" s="160"/>
      <c r="Q15" s="160"/>
    </row>
    <row r="16" spans="1:17" ht="28" hidden="1">
      <c r="A16" s="132" t="s">
        <v>104</v>
      </c>
      <c r="B16" s="87">
        <f t="shared" si="0"/>
        <v>5160750</v>
      </c>
      <c r="C16" s="87">
        <v>7155750</v>
      </c>
      <c r="D16" s="87">
        <v>7155750</v>
      </c>
      <c r="E16" s="87">
        <v>7155750</v>
      </c>
      <c r="F16" s="87">
        <v>7155750</v>
      </c>
      <c r="G16" s="87">
        <v>7155750</v>
      </c>
      <c r="H16" s="87">
        <v>7155750</v>
      </c>
      <c r="I16" s="87">
        <v>7155750</v>
      </c>
      <c r="J16" s="87">
        <v>7155750</v>
      </c>
      <c r="K16" s="87">
        <v>7155750</v>
      </c>
      <c r="L16" s="87">
        <v>7155750</v>
      </c>
      <c r="M16" s="87">
        <v>7155750</v>
      </c>
      <c r="N16" s="185">
        <f>'INCOME DETAILS'!AB117</f>
        <v>61929000</v>
      </c>
      <c r="O16" s="160"/>
      <c r="P16" s="160"/>
      <c r="Q16" s="160"/>
    </row>
    <row r="17" spans="1:17" hidden="1">
      <c r="A17" s="132" t="s">
        <v>105</v>
      </c>
      <c r="B17" s="87">
        <f t="shared" si="0"/>
        <v>3428333.3333333335</v>
      </c>
      <c r="C17" s="87">
        <v>9997083.333333334</v>
      </c>
      <c r="D17" s="87">
        <v>9997083.333333334</v>
      </c>
      <c r="E17" s="87">
        <v>9997083.333333334</v>
      </c>
      <c r="F17" s="87">
        <v>9997083.333333334</v>
      </c>
      <c r="G17" s="87">
        <v>9997083.333333334</v>
      </c>
      <c r="H17" s="87">
        <v>9997083.333333334</v>
      </c>
      <c r="I17" s="87">
        <v>9997083.333333334</v>
      </c>
      <c r="J17" s="87">
        <v>9997083.333333334</v>
      </c>
      <c r="K17" s="87">
        <v>9997083.333333334</v>
      </c>
      <c r="L17" s="87">
        <v>9997083.333333334</v>
      </c>
      <c r="M17" s="87">
        <v>9997083.333333334</v>
      </c>
      <c r="N17" s="185">
        <f>'INCOME DETAILS'!AB96</f>
        <v>41140000</v>
      </c>
      <c r="O17" s="160"/>
      <c r="P17" s="160"/>
      <c r="Q17" s="160"/>
    </row>
    <row r="18" spans="1:17" hidden="1">
      <c r="A18" s="132" t="s">
        <v>106</v>
      </c>
      <c r="B18" s="87">
        <f t="shared" si="0"/>
        <v>10931250</v>
      </c>
      <c r="C18" s="87">
        <v>12264583.333333334</v>
      </c>
      <c r="D18" s="87">
        <v>12264583.333333334</v>
      </c>
      <c r="E18" s="87">
        <v>12264583.333333334</v>
      </c>
      <c r="F18" s="87">
        <v>12264583.333333334</v>
      </c>
      <c r="G18" s="87">
        <v>12264583.333333334</v>
      </c>
      <c r="H18" s="87">
        <v>12264583.333333334</v>
      </c>
      <c r="I18" s="87">
        <v>12264583.333333334</v>
      </c>
      <c r="J18" s="87">
        <v>12264583.333333334</v>
      </c>
      <c r="K18" s="87">
        <v>12264583.333333334</v>
      </c>
      <c r="L18" s="87">
        <v>12264583.333333334</v>
      </c>
      <c r="M18" s="87">
        <v>12264583.333333334</v>
      </c>
      <c r="N18" s="185">
        <f>'INCOME DETAILS'!AB28</f>
        <v>131175000</v>
      </c>
      <c r="O18" s="160"/>
      <c r="P18" s="160"/>
      <c r="Q18" s="160"/>
    </row>
    <row r="19" spans="1:17" hidden="1">
      <c r="A19" s="132" t="s">
        <v>107</v>
      </c>
      <c r="B19" s="87">
        <f t="shared" si="0"/>
        <v>2770833.3333333335</v>
      </c>
      <c r="C19" s="87">
        <v>2770833.3333333335</v>
      </c>
      <c r="D19" s="87">
        <v>2770833.3333333335</v>
      </c>
      <c r="E19" s="87">
        <v>2770833.3333333335</v>
      </c>
      <c r="F19" s="87">
        <v>2770833.3333333335</v>
      </c>
      <c r="G19" s="87">
        <v>2770833.3333333335</v>
      </c>
      <c r="H19" s="87">
        <v>2770833.3333333335</v>
      </c>
      <c r="I19" s="87">
        <v>2770833.3333333335</v>
      </c>
      <c r="J19" s="87">
        <v>2770833.3333333335</v>
      </c>
      <c r="K19" s="87">
        <v>2770833.3333333335</v>
      </c>
      <c r="L19" s="87">
        <v>2770833.3333333335</v>
      </c>
      <c r="M19" s="87">
        <v>2770833.3333333335</v>
      </c>
      <c r="N19" s="185">
        <f>'INCOME DETAILS'!AB36</f>
        <v>33250000</v>
      </c>
      <c r="O19" s="160"/>
      <c r="P19" s="160"/>
      <c r="Q19" s="160"/>
    </row>
    <row r="20" spans="1:17" hidden="1">
      <c r="A20" s="132" t="s">
        <v>115</v>
      </c>
      <c r="K20" s="68">
        <f>N20/3</f>
        <v>0</v>
      </c>
      <c r="L20" s="68">
        <v>0</v>
      </c>
      <c r="M20" s="68">
        <v>0</v>
      </c>
      <c r="N20" s="185">
        <f>'INCOME DETAILS'!AB120</f>
        <v>0</v>
      </c>
      <c r="O20" s="160"/>
      <c r="P20" s="160"/>
      <c r="Q20" s="160"/>
    </row>
    <row r="21" spans="1:17" hidden="1">
      <c r="A21" s="132" t="s">
        <v>109</v>
      </c>
      <c r="B21" s="87"/>
      <c r="N21" s="176"/>
      <c r="O21" s="160"/>
      <c r="P21" s="160"/>
      <c r="Q21" s="160"/>
    </row>
    <row r="22" spans="1:17" hidden="1">
      <c r="A22" s="132" t="s">
        <v>199</v>
      </c>
      <c r="B22" s="87">
        <f>N22/12</f>
        <v>23065416.666666668</v>
      </c>
      <c r="C22" s="87">
        <v>23065416.666666668</v>
      </c>
      <c r="D22" s="87">
        <v>23065416.666666668</v>
      </c>
      <c r="E22" s="87">
        <v>23065416.666666668</v>
      </c>
      <c r="F22" s="87">
        <v>23065416.666666668</v>
      </c>
      <c r="G22" s="87">
        <v>23065416.666666668</v>
      </c>
      <c r="H22" s="87">
        <v>23065416.666666668</v>
      </c>
      <c r="I22" s="87">
        <v>23065416.666666668</v>
      </c>
      <c r="J22" s="87">
        <v>23065416.666666668</v>
      </c>
      <c r="K22" s="87">
        <v>23065416.666666668</v>
      </c>
      <c r="L22" s="87">
        <v>23065416.666666668</v>
      </c>
      <c r="M22" s="87">
        <v>23065416.666666668</v>
      </c>
      <c r="N22" s="185">
        <v>276785000</v>
      </c>
      <c r="O22" s="160"/>
      <c r="P22" s="160"/>
      <c r="Q22" s="160"/>
    </row>
    <row r="23" spans="1:17" hidden="1">
      <c r="A23" s="132" t="s">
        <v>200</v>
      </c>
      <c r="B23" s="87"/>
      <c r="C23" s="87"/>
      <c r="D23" s="87"/>
      <c r="E23" s="87"/>
      <c r="F23" s="87"/>
      <c r="G23" s="87"/>
      <c r="H23" s="87"/>
      <c r="I23" s="87"/>
      <c r="J23" s="87"/>
      <c r="K23" s="87">
        <f>N23/3</f>
        <v>24625000</v>
      </c>
      <c r="L23" s="87">
        <v>24625000</v>
      </c>
      <c r="M23" s="87">
        <v>24625000</v>
      </c>
      <c r="N23" s="185">
        <f>'INCOME DETAILS'!S124</f>
        <v>73875000</v>
      </c>
      <c r="O23" s="160"/>
      <c r="P23" s="160"/>
      <c r="Q23" s="160"/>
    </row>
    <row r="24" spans="1:17" hidden="1">
      <c r="A24" s="132" t="s">
        <v>108</v>
      </c>
      <c r="B24" s="87">
        <f t="shared" ref="B24" si="1">N24/12</f>
        <v>32324777.777777772</v>
      </c>
      <c r="C24" s="87">
        <v>32324777.77777775</v>
      </c>
      <c r="D24" s="87">
        <v>32324777.77777775</v>
      </c>
      <c r="E24" s="87">
        <v>32324777.77777775</v>
      </c>
      <c r="F24" s="87">
        <v>32324777.77777775</v>
      </c>
      <c r="G24" s="87">
        <v>32324777.77777775</v>
      </c>
      <c r="H24" s="87">
        <v>32324777.77777775</v>
      </c>
      <c r="I24" s="87">
        <v>32324777.77777775</v>
      </c>
      <c r="J24" s="87">
        <v>32324777.77777775</v>
      </c>
      <c r="K24" s="87">
        <v>32324777.77777775</v>
      </c>
      <c r="L24" s="87">
        <v>32324777.77777775</v>
      </c>
      <c r="M24" s="87">
        <v>32324777.77777775</v>
      </c>
      <c r="N24" s="176">
        <f>'INCOME DETAILS'!F133</f>
        <v>387897333.33333325</v>
      </c>
      <c r="O24" s="160"/>
      <c r="P24" s="160"/>
      <c r="Q24" s="160"/>
    </row>
    <row r="25" spans="1:17" hidden="1">
      <c r="A25" s="132" t="s">
        <v>91</v>
      </c>
      <c r="F25" s="87">
        <f>N25/9</f>
        <v>6007962.222222222</v>
      </c>
      <c r="G25" s="87">
        <v>6007962.222222222</v>
      </c>
      <c r="H25" s="87">
        <v>6007962.222222222</v>
      </c>
      <c r="I25" s="87">
        <v>6007962.222222222</v>
      </c>
      <c r="J25" s="87">
        <v>6007962.222222222</v>
      </c>
      <c r="K25" s="87">
        <v>6007962.222222222</v>
      </c>
      <c r="L25" s="87">
        <v>6007962.222222222</v>
      </c>
      <c r="M25" s="87">
        <v>6007962.222222222</v>
      </c>
      <c r="N25" s="176">
        <f>'INCOME DETAILS'!E140</f>
        <v>54071660</v>
      </c>
      <c r="O25" s="160"/>
      <c r="P25" s="160"/>
      <c r="Q25" s="160"/>
    </row>
    <row r="26" spans="1:17">
      <c r="A26" s="209" t="s">
        <v>323</v>
      </c>
      <c r="B26" s="81">
        <f>SUM(B13:B25)</f>
        <v>135450527.77777776</v>
      </c>
      <c r="C26" s="81">
        <f t="shared" ref="C26:M26" si="2">SUM(C13:C25)</f>
        <v>151860111.11111107</v>
      </c>
      <c r="D26" s="81">
        <f t="shared" si="2"/>
        <v>151860111.11111107</v>
      </c>
      <c r="E26" s="81">
        <f t="shared" si="2"/>
        <v>151860111.11111107</v>
      </c>
      <c r="F26" s="81">
        <f t="shared" si="2"/>
        <v>157868073.33333328</v>
      </c>
      <c r="G26" s="81">
        <f t="shared" si="2"/>
        <v>157868073.33333328</v>
      </c>
      <c r="H26" s="81">
        <f t="shared" si="2"/>
        <v>157868073.33333328</v>
      </c>
      <c r="I26" s="81">
        <f t="shared" si="2"/>
        <v>157868073.33333328</v>
      </c>
      <c r="J26" s="81">
        <f t="shared" si="2"/>
        <v>157868073.33333328</v>
      </c>
      <c r="K26" s="81">
        <f t="shared" si="2"/>
        <v>182493073.33333328</v>
      </c>
      <c r="L26" s="81">
        <f t="shared" si="2"/>
        <v>182493073.33333328</v>
      </c>
      <c r="M26" s="81">
        <f t="shared" si="2"/>
        <v>182493073.33333328</v>
      </c>
      <c r="N26" s="169">
        <f>SUM(N13:N25)</f>
        <v>1753352993.3333333</v>
      </c>
      <c r="O26" s="169">
        <v>1088767000</v>
      </c>
      <c r="P26" s="170">
        <f>O26-N26</f>
        <v>-664585993.33333325</v>
      </c>
      <c r="Q26" s="189">
        <f>O26/N26</f>
        <v>0.62096280905200041</v>
      </c>
    </row>
    <row r="27" spans="1:17">
      <c r="A27" s="132" t="s">
        <v>56</v>
      </c>
      <c r="B27" s="68">
        <f>N27/12</f>
        <v>703333.33333333337</v>
      </c>
      <c r="C27" s="87">
        <v>930416.66666666663</v>
      </c>
      <c r="D27" s="87">
        <v>930416.66666666663</v>
      </c>
      <c r="E27" s="87">
        <v>930416.66666666663</v>
      </c>
      <c r="F27" s="87">
        <v>930416.66666666663</v>
      </c>
      <c r="G27" s="87">
        <v>930416.66666666663</v>
      </c>
      <c r="H27" s="87">
        <v>930416.66666666663</v>
      </c>
      <c r="I27" s="87">
        <v>930416.66666666663</v>
      </c>
      <c r="J27" s="87">
        <v>930416.66666666663</v>
      </c>
      <c r="K27" s="87">
        <v>930416.66666666663</v>
      </c>
      <c r="L27" s="87">
        <v>930416.66666666663</v>
      </c>
      <c r="M27" s="87">
        <v>930416.66666666663</v>
      </c>
      <c r="N27" s="185">
        <f>'INCOME DETAILS'!AD121</f>
        <v>8440000</v>
      </c>
      <c r="O27" s="170">
        <v>9970000</v>
      </c>
      <c r="P27" s="170">
        <f t="shared" ref="P27:P33" si="3">O27-N27</f>
        <v>1530000</v>
      </c>
      <c r="Q27" s="189">
        <f t="shared" ref="Q27:Q33" si="4">O27/N27</f>
        <v>1.1812796208530805</v>
      </c>
    </row>
    <row r="28" spans="1:17">
      <c r="A28" s="132" t="s">
        <v>59</v>
      </c>
      <c r="B28" s="87">
        <f>N28/12</f>
        <v>3187500</v>
      </c>
      <c r="C28" s="87">
        <v>2870833.3333333335</v>
      </c>
      <c r="D28" s="87">
        <v>2870833.3333333335</v>
      </c>
      <c r="E28" s="87">
        <v>2870833.3333333335</v>
      </c>
      <c r="F28" s="87">
        <v>2870833.3333333335</v>
      </c>
      <c r="G28" s="87">
        <v>2870833.3333333335</v>
      </c>
      <c r="H28" s="87">
        <v>2870833.3333333335</v>
      </c>
      <c r="I28" s="87">
        <v>2870833.3333333335</v>
      </c>
      <c r="J28" s="87">
        <v>2870833.3333333335</v>
      </c>
      <c r="K28" s="87">
        <v>2870833.3333333335</v>
      </c>
      <c r="L28" s="87">
        <v>2870833.3333333335</v>
      </c>
      <c r="M28" s="87">
        <v>2870833.3333333335</v>
      </c>
      <c r="N28" s="185">
        <f>'INCOME DETAILS'!AE121</f>
        <v>38250000</v>
      </c>
      <c r="O28" s="170">
        <v>33980000</v>
      </c>
      <c r="P28" s="170">
        <f t="shared" si="3"/>
        <v>-4270000</v>
      </c>
      <c r="Q28" s="189">
        <f t="shared" si="4"/>
        <v>0.88836601307189544</v>
      </c>
    </row>
    <row r="29" spans="1:17">
      <c r="A29" s="132" t="s">
        <v>111</v>
      </c>
      <c r="B29" s="87">
        <f>N29/12</f>
        <v>3837500</v>
      </c>
      <c r="C29" s="87">
        <v>3837500</v>
      </c>
      <c r="D29" s="87">
        <v>3837500</v>
      </c>
      <c r="E29" s="87">
        <v>3837500</v>
      </c>
      <c r="F29" s="87">
        <v>3837500</v>
      </c>
      <c r="G29" s="87">
        <v>3837500</v>
      </c>
      <c r="H29" s="87">
        <v>3837500</v>
      </c>
      <c r="I29" s="87">
        <v>3837500</v>
      </c>
      <c r="J29" s="87">
        <v>3837500</v>
      </c>
      <c r="K29" s="87">
        <v>3837500</v>
      </c>
      <c r="L29" s="87">
        <v>3837500</v>
      </c>
      <c r="M29" s="87">
        <v>3837500</v>
      </c>
      <c r="N29" s="185">
        <f>'INCOME DETAILS'!AF121</f>
        <v>46050000</v>
      </c>
      <c r="O29" s="170">
        <v>63450000</v>
      </c>
      <c r="P29" s="170">
        <f t="shared" si="3"/>
        <v>17400000</v>
      </c>
      <c r="Q29" s="189">
        <f t="shared" si="4"/>
        <v>1.3778501628664495</v>
      </c>
    </row>
    <row r="30" spans="1:17">
      <c r="A30" s="132" t="s">
        <v>112</v>
      </c>
      <c r="J30" s="68">
        <f>N30</f>
        <v>13000000</v>
      </c>
      <c r="N30" s="185">
        <f>260*50000</f>
        <v>13000000</v>
      </c>
      <c r="O30" s="170">
        <v>12730000</v>
      </c>
      <c r="P30" s="170">
        <f t="shared" si="3"/>
        <v>-270000</v>
      </c>
      <c r="Q30" s="189">
        <f t="shared" si="4"/>
        <v>0.97923076923076924</v>
      </c>
    </row>
    <row r="31" spans="1:17">
      <c r="A31" s="132" t="s">
        <v>5</v>
      </c>
      <c r="B31" s="68">
        <f>N31/12</f>
        <v>50820</v>
      </c>
      <c r="C31" s="68">
        <v>50820</v>
      </c>
      <c r="D31" s="68">
        <v>50820</v>
      </c>
      <c r="E31" s="68">
        <v>50820</v>
      </c>
      <c r="F31" s="68">
        <v>50820</v>
      </c>
      <c r="G31" s="68">
        <v>50820</v>
      </c>
      <c r="H31" s="68">
        <v>50820</v>
      </c>
      <c r="I31" s="68">
        <v>50820</v>
      </c>
      <c r="J31" s="68">
        <v>50820</v>
      </c>
      <c r="K31" s="68">
        <v>50820</v>
      </c>
      <c r="L31" s="68">
        <v>50820</v>
      </c>
      <c r="M31" s="68">
        <v>50820</v>
      </c>
      <c r="N31" s="185">
        <v>609840</v>
      </c>
      <c r="O31" s="170">
        <v>0</v>
      </c>
      <c r="P31" s="170">
        <f t="shared" si="3"/>
        <v>-609840</v>
      </c>
      <c r="Q31" s="189">
        <f t="shared" si="4"/>
        <v>0</v>
      </c>
    </row>
    <row r="32" spans="1:17">
      <c r="A32" s="129" t="s">
        <v>113</v>
      </c>
      <c r="B32" s="68">
        <f t="shared" ref="B32:B33" si="5">N32/12</f>
        <v>33333.333333333336</v>
      </c>
      <c r="C32" s="68">
        <v>33333.333333333336</v>
      </c>
      <c r="D32" s="68">
        <v>33333.333333333336</v>
      </c>
      <c r="E32" s="68">
        <v>33333.333333333336</v>
      </c>
      <c r="F32" s="68">
        <v>33333.333333333336</v>
      </c>
      <c r="G32" s="68">
        <v>33333.333333333336</v>
      </c>
      <c r="H32" s="68">
        <v>33333.333333333336</v>
      </c>
      <c r="I32" s="68">
        <v>33333.333333333336</v>
      </c>
      <c r="J32" s="68">
        <v>33333.333333333336</v>
      </c>
      <c r="K32" s="68">
        <v>33333.333333333336</v>
      </c>
      <c r="L32" s="68">
        <v>33333.333333333336</v>
      </c>
      <c r="M32" s="68">
        <v>33333.333333333336</v>
      </c>
      <c r="N32" s="185">
        <v>400000</v>
      </c>
      <c r="O32" s="170">
        <v>0</v>
      </c>
      <c r="P32" s="170">
        <f t="shared" si="3"/>
        <v>-400000</v>
      </c>
      <c r="Q32" s="189">
        <f t="shared" si="4"/>
        <v>0</v>
      </c>
    </row>
    <row r="33" spans="1:17">
      <c r="A33" s="129" t="s">
        <v>114</v>
      </c>
      <c r="B33" s="68">
        <f t="shared" si="5"/>
        <v>232466.66666666666</v>
      </c>
      <c r="C33" s="68">
        <v>232466.66666666666</v>
      </c>
      <c r="D33" s="68">
        <v>232466.66666666666</v>
      </c>
      <c r="E33" s="68">
        <v>232466.66666666666</v>
      </c>
      <c r="F33" s="68">
        <v>232466.66666666666</v>
      </c>
      <c r="G33" s="68">
        <v>232466.66666666666</v>
      </c>
      <c r="H33" s="68">
        <v>232466.66666666666</v>
      </c>
      <c r="I33" s="68">
        <v>232466.66666666666</v>
      </c>
      <c r="J33" s="68">
        <v>232466.66666666666</v>
      </c>
      <c r="K33" s="68">
        <v>232466.66666666666</v>
      </c>
      <c r="L33" s="68">
        <v>232466.66666666666</v>
      </c>
      <c r="M33" s="68">
        <v>232466.66666666666</v>
      </c>
      <c r="N33" s="185">
        <v>2789600</v>
      </c>
      <c r="O33" s="171">
        <v>1905000</v>
      </c>
      <c r="P33" s="170">
        <f t="shared" si="3"/>
        <v>-884600</v>
      </c>
      <c r="Q33" s="189">
        <f t="shared" si="4"/>
        <v>0.68289360481789507</v>
      </c>
    </row>
    <row r="34" spans="1:17" s="1" customFormat="1">
      <c r="A34" s="230" t="s">
        <v>259</v>
      </c>
      <c r="B34" s="231">
        <f>SUM(B26:B33)</f>
        <v>143495481.1111111</v>
      </c>
      <c r="C34" s="231">
        <f t="shared" ref="C34:M34" si="6">SUM(C26:C33)</f>
        <v>159815481.11111107</v>
      </c>
      <c r="D34" s="231">
        <f t="shared" si="6"/>
        <v>159815481.11111107</v>
      </c>
      <c r="E34" s="231">
        <f t="shared" si="6"/>
        <v>159815481.11111107</v>
      </c>
      <c r="F34" s="231">
        <f t="shared" si="6"/>
        <v>165823443.33333328</v>
      </c>
      <c r="G34" s="231">
        <f t="shared" si="6"/>
        <v>165823443.33333328</v>
      </c>
      <c r="H34" s="231">
        <f t="shared" si="6"/>
        <v>165823443.33333328</v>
      </c>
      <c r="I34" s="231">
        <f t="shared" si="6"/>
        <v>165823443.33333328</v>
      </c>
      <c r="J34" s="231">
        <f t="shared" si="6"/>
        <v>178823443.33333328</v>
      </c>
      <c r="K34" s="231">
        <f t="shared" si="6"/>
        <v>190448443.33333328</v>
      </c>
      <c r="L34" s="231">
        <f t="shared" si="6"/>
        <v>190448443.33333328</v>
      </c>
      <c r="M34" s="231">
        <f t="shared" si="6"/>
        <v>190448443.33333328</v>
      </c>
      <c r="N34" s="213">
        <f>SUM(N26:N33)</f>
        <v>1862892433.3333333</v>
      </c>
      <c r="O34" s="213">
        <f>SUM(O26:O33)</f>
        <v>1210802000</v>
      </c>
      <c r="P34" s="235"/>
      <c r="Q34" s="232">
        <f>O34/N34</f>
        <v>0.64995808578892189</v>
      </c>
    </row>
    <row r="35" spans="1:17">
      <c r="A35" s="233" t="s">
        <v>4</v>
      </c>
      <c r="B35" s="234"/>
      <c r="C35" s="234"/>
      <c r="D35" s="234"/>
      <c r="E35" s="234"/>
      <c r="F35" s="234"/>
      <c r="G35" s="234"/>
      <c r="H35" s="234"/>
      <c r="I35" s="234"/>
      <c r="J35" s="234"/>
      <c r="K35" s="234"/>
      <c r="L35" s="234"/>
      <c r="M35" s="234"/>
      <c r="N35" s="213"/>
      <c r="O35" s="214"/>
      <c r="P35" s="214"/>
      <c r="Q35" s="214"/>
    </row>
    <row r="36" spans="1:17">
      <c r="A36" s="210" t="s">
        <v>258</v>
      </c>
      <c r="B36" s="95">
        <f>N36/12</f>
        <v>1309000</v>
      </c>
      <c r="C36" s="95">
        <v>109083.33333333333</v>
      </c>
      <c r="D36" s="95">
        <v>109083.33333333299</v>
      </c>
      <c r="E36" s="95">
        <v>109083.33333333333</v>
      </c>
      <c r="F36" s="95">
        <v>109083.33333333333</v>
      </c>
      <c r="G36" s="95">
        <v>109083.33333333299</v>
      </c>
      <c r="H36" s="95">
        <v>109083.33333333333</v>
      </c>
      <c r="I36" s="95">
        <v>109083.33333333333</v>
      </c>
      <c r="J36" s="95">
        <v>109083.33333333333</v>
      </c>
      <c r="K36" s="95">
        <v>109083.33333333333</v>
      </c>
      <c r="L36" s="95">
        <v>109083.33333333333</v>
      </c>
      <c r="M36" s="95">
        <v>109083.33333333333</v>
      </c>
      <c r="N36" s="185">
        <f>187*7000*12</f>
        <v>15708000</v>
      </c>
      <c r="O36" s="176">
        <v>7345500</v>
      </c>
      <c r="P36" s="176">
        <f>O36-N36</f>
        <v>-8362500</v>
      </c>
      <c r="Q36" s="221">
        <f>O36/N36</f>
        <v>0.46762796027501907</v>
      </c>
    </row>
    <row r="37" spans="1:17">
      <c r="A37" s="210" t="s">
        <v>268</v>
      </c>
      <c r="B37" s="86"/>
      <c r="C37" s="86"/>
      <c r="D37" s="86"/>
      <c r="E37" s="86"/>
      <c r="F37" s="86">
        <f>N37/8</f>
        <v>12500000</v>
      </c>
      <c r="G37" s="86">
        <v>12500000</v>
      </c>
      <c r="H37" s="86">
        <v>12500000</v>
      </c>
      <c r="I37" s="86">
        <v>12500000</v>
      </c>
      <c r="J37" s="86">
        <v>12500000</v>
      </c>
      <c r="K37" s="86">
        <v>12500000</v>
      </c>
      <c r="L37" s="86">
        <v>12500000</v>
      </c>
      <c r="M37" s="86">
        <v>12500000</v>
      </c>
      <c r="N37" s="185">
        <v>100000000</v>
      </c>
      <c r="O37" s="176">
        <v>142412232.83967352</v>
      </c>
      <c r="P37" s="176">
        <f>O37-N37</f>
        <v>42412232.839673519</v>
      </c>
      <c r="Q37" s="221">
        <f>O37/N37</f>
        <v>1.4241223283967352</v>
      </c>
    </row>
    <row r="38" spans="1:17" s="1" customFormat="1">
      <c r="A38" s="210" t="s">
        <v>320</v>
      </c>
      <c r="B38" s="86">
        <f>B36+B37</f>
        <v>1309000</v>
      </c>
      <c r="C38" s="86">
        <f t="shared" ref="C38:M38" si="7">C36+C37</f>
        <v>109083.33333333333</v>
      </c>
      <c r="D38" s="86">
        <f t="shared" si="7"/>
        <v>109083.33333333299</v>
      </c>
      <c r="E38" s="86">
        <f t="shared" si="7"/>
        <v>109083.33333333333</v>
      </c>
      <c r="F38" s="86">
        <f t="shared" si="7"/>
        <v>12609083.333333334</v>
      </c>
      <c r="G38" s="86">
        <f t="shared" si="7"/>
        <v>12609083.333333332</v>
      </c>
      <c r="H38" s="86">
        <f t="shared" si="7"/>
        <v>12609083.333333334</v>
      </c>
      <c r="I38" s="86">
        <f t="shared" si="7"/>
        <v>12609083.333333334</v>
      </c>
      <c r="J38" s="86">
        <f t="shared" si="7"/>
        <v>12609083.333333334</v>
      </c>
      <c r="K38" s="86">
        <f t="shared" si="7"/>
        <v>12609083.333333334</v>
      </c>
      <c r="L38" s="86">
        <f t="shared" si="7"/>
        <v>12609083.333333334</v>
      </c>
      <c r="M38" s="86">
        <f t="shared" si="7"/>
        <v>12609083.333333334</v>
      </c>
      <c r="N38" s="185">
        <f>N36+N37</f>
        <v>115708000</v>
      </c>
      <c r="O38" s="185">
        <f t="shared" ref="O38" si="8">O36+O37</f>
        <v>149757732.83967352</v>
      </c>
      <c r="P38" s="185">
        <f>N38-O38</f>
        <v>-34049732.839673519</v>
      </c>
      <c r="Q38" s="221">
        <f>O38/N38</f>
        <v>1.2942729356628195</v>
      </c>
    </row>
    <row r="39" spans="1:17">
      <c r="A39" s="226" t="s">
        <v>267</v>
      </c>
      <c r="B39" s="227">
        <f t="shared" ref="B39:O39" si="9">B38+B34</f>
        <v>144804481.1111111</v>
      </c>
      <c r="C39" s="227">
        <f t="shared" si="9"/>
        <v>159924564.44444442</v>
      </c>
      <c r="D39" s="227">
        <f t="shared" si="9"/>
        <v>159924564.44444442</v>
      </c>
      <c r="E39" s="227">
        <f t="shared" si="9"/>
        <v>159924564.44444442</v>
      </c>
      <c r="F39" s="227">
        <f t="shared" si="9"/>
        <v>178432526.66666663</v>
      </c>
      <c r="G39" s="227">
        <f t="shared" si="9"/>
        <v>178432526.66666663</v>
      </c>
      <c r="H39" s="227">
        <f t="shared" si="9"/>
        <v>178432526.66666663</v>
      </c>
      <c r="I39" s="227">
        <f t="shared" si="9"/>
        <v>178432526.66666663</v>
      </c>
      <c r="J39" s="227">
        <f t="shared" si="9"/>
        <v>191432526.66666663</v>
      </c>
      <c r="K39" s="227">
        <f t="shared" si="9"/>
        <v>203057526.66666663</v>
      </c>
      <c r="L39" s="227">
        <f t="shared" si="9"/>
        <v>203057526.66666663</v>
      </c>
      <c r="M39" s="227">
        <f t="shared" si="9"/>
        <v>203057526.66666663</v>
      </c>
      <c r="N39" s="228">
        <f t="shared" si="9"/>
        <v>1978600433.3333333</v>
      </c>
      <c r="O39" s="228">
        <f t="shared" si="9"/>
        <v>1360559732.8396735</v>
      </c>
      <c r="P39" s="228">
        <f>N39-O39</f>
        <v>618040700.49365973</v>
      </c>
      <c r="Q39" s="229">
        <f>O39/N39</f>
        <v>0.68763743801852339</v>
      </c>
    </row>
    <row r="40" spans="1:17">
      <c r="A40" s="127" t="s">
        <v>6</v>
      </c>
      <c r="N40" s="169"/>
      <c r="O40" s="160"/>
      <c r="P40" s="160"/>
      <c r="Q40" s="160"/>
    </row>
    <row r="41" spans="1:17">
      <c r="A41" s="128" t="s">
        <v>175</v>
      </c>
      <c r="N41" s="169"/>
      <c r="O41" s="160"/>
      <c r="P41" s="160"/>
      <c r="Q41" s="160"/>
    </row>
    <row r="42" spans="1:17">
      <c r="A42" s="129" t="s">
        <v>176</v>
      </c>
      <c r="B42" s="86">
        <v>32407582.152857132</v>
      </c>
      <c r="C42" s="86">
        <v>32407582.152857132</v>
      </c>
      <c r="D42" s="86">
        <v>32407582.152857132</v>
      </c>
      <c r="E42" s="86">
        <v>32407582.152857099</v>
      </c>
      <c r="F42" s="86">
        <v>32407582.152857099</v>
      </c>
      <c r="G42" s="86">
        <v>32407582.152857099</v>
      </c>
      <c r="H42" s="86">
        <v>32407582.152857099</v>
      </c>
      <c r="I42" s="86">
        <v>32407582.152857099</v>
      </c>
      <c r="J42" s="86">
        <v>32407582.152857099</v>
      </c>
      <c r="K42" s="86">
        <v>36319384.650857128</v>
      </c>
      <c r="L42" s="86">
        <v>36319384.650857128</v>
      </c>
      <c r="M42" s="86">
        <v>36319384.650857128</v>
      </c>
      <c r="N42" s="176">
        <f>SUM(B42:M42)</f>
        <v>400626393.32828546</v>
      </c>
      <c r="O42" s="176">
        <v>378513403.27965391</v>
      </c>
      <c r="P42" s="176">
        <f>O42-N42</f>
        <v>-22112990.048631549</v>
      </c>
      <c r="Q42" s="189">
        <f>O42/N42</f>
        <v>0.94480396095493513</v>
      </c>
    </row>
    <row r="43" spans="1:17">
      <c r="A43" s="129" t="s">
        <v>177</v>
      </c>
      <c r="B43" s="86">
        <f>'Part-time staff cost'!B13/12</f>
        <v>8044756.3937499998</v>
      </c>
      <c r="C43" s="86">
        <f t="shared" ref="C43:M43" si="10">B43</f>
        <v>8044756.3937499998</v>
      </c>
      <c r="D43" s="86">
        <f t="shared" si="10"/>
        <v>8044756.3937499998</v>
      </c>
      <c r="E43" s="86">
        <f t="shared" si="10"/>
        <v>8044756.3937499998</v>
      </c>
      <c r="F43" s="86">
        <f t="shared" si="10"/>
        <v>8044756.3937499998</v>
      </c>
      <c r="G43" s="86">
        <f t="shared" si="10"/>
        <v>8044756.3937499998</v>
      </c>
      <c r="H43" s="86">
        <f t="shared" si="10"/>
        <v>8044756.3937499998</v>
      </c>
      <c r="I43" s="86">
        <f t="shared" si="10"/>
        <v>8044756.3937499998</v>
      </c>
      <c r="J43" s="86">
        <f t="shared" si="10"/>
        <v>8044756.3937499998</v>
      </c>
      <c r="K43" s="86">
        <f t="shared" si="10"/>
        <v>8044756.3937499998</v>
      </c>
      <c r="L43" s="86">
        <f t="shared" si="10"/>
        <v>8044756.3937499998</v>
      </c>
      <c r="M43" s="86">
        <f t="shared" si="10"/>
        <v>8044756.3937499998</v>
      </c>
      <c r="N43" s="176">
        <f>SUM(B43:M43)</f>
        <v>96537076.724999979</v>
      </c>
      <c r="O43" s="176">
        <v>93960978.230077878</v>
      </c>
      <c r="P43" s="176">
        <f t="shared" ref="P43:P46" si="11">O43-N43</f>
        <v>-2576098.4949221015</v>
      </c>
      <c r="Q43" s="189">
        <f t="shared" ref="Q43:Q46" si="12">O43/N43</f>
        <v>0.97331493160642835</v>
      </c>
    </row>
    <row r="44" spans="1:17">
      <c r="A44" s="129" t="s">
        <v>178</v>
      </c>
      <c r="B44" s="87">
        <v>14887169.139593381</v>
      </c>
      <c r="C44" s="87">
        <v>14887169.139593381</v>
      </c>
      <c r="D44" s="87">
        <v>14887169.139593381</v>
      </c>
      <c r="E44" s="87">
        <v>14887169.139593381</v>
      </c>
      <c r="F44" s="87">
        <v>14887169.139593381</v>
      </c>
      <c r="G44" s="87">
        <v>14887169.139593381</v>
      </c>
      <c r="H44" s="87">
        <v>14887169.139593381</v>
      </c>
      <c r="I44" s="87">
        <v>14887169.139593381</v>
      </c>
      <c r="J44" s="87">
        <v>14887169.139593381</v>
      </c>
      <c r="K44" s="87">
        <v>17500450.460307647</v>
      </c>
      <c r="L44" s="87">
        <v>17500450.460307647</v>
      </c>
      <c r="M44" s="87">
        <v>17500450.460307647</v>
      </c>
      <c r="N44" s="185">
        <f>SUM(B44:M44)</f>
        <v>186485873.63726339</v>
      </c>
      <c r="O44" s="176">
        <v>173878848.15500015</v>
      </c>
      <c r="P44" s="176">
        <f t="shared" si="11"/>
        <v>-12607025.482263237</v>
      </c>
      <c r="Q44" s="189">
        <f t="shared" si="12"/>
        <v>0.9323968875691605</v>
      </c>
    </row>
    <row r="45" spans="1:17">
      <c r="A45" s="129" t="s">
        <v>293</v>
      </c>
      <c r="B45" s="87">
        <v>2851511.4720000001</v>
      </c>
      <c r="C45" s="87">
        <v>2851511.4720000001</v>
      </c>
      <c r="D45" s="87">
        <v>2851511.4720000001</v>
      </c>
      <c r="E45" s="87">
        <v>2851511.4720000001</v>
      </c>
      <c r="F45" s="87">
        <v>2851511.4720000001</v>
      </c>
      <c r="G45" s="87">
        <v>2851511.4720000001</v>
      </c>
      <c r="H45" s="87">
        <v>2851511.4720000001</v>
      </c>
      <c r="I45" s="87">
        <v>2851511.4720000001</v>
      </c>
      <c r="J45" s="87">
        <v>2851511.4720000001</v>
      </c>
      <c r="K45" s="87">
        <v>2851511.4720000001</v>
      </c>
      <c r="L45" s="87">
        <v>2851511.4720000001</v>
      </c>
      <c r="M45" s="87">
        <v>2851511.4720000001</v>
      </c>
      <c r="N45" s="185">
        <f>SUM(B45:M45)</f>
        <v>34218137.663999997</v>
      </c>
      <c r="O45" s="176">
        <v>33305024.320135511</v>
      </c>
      <c r="P45" s="176">
        <f t="shared" si="11"/>
        <v>-913113.34386448562</v>
      </c>
      <c r="Q45" s="189">
        <f t="shared" si="12"/>
        <v>0.97331493160642846</v>
      </c>
    </row>
    <row r="46" spans="1:17">
      <c r="A46" s="129" t="s">
        <v>179</v>
      </c>
      <c r="B46" s="86">
        <v>1200000</v>
      </c>
      <c r="C46" s="86">
        <v>1200000</v>
      </c>
      <c r="D46" s="86">
        <v>1200000</v>
      </c>
      <c r="E46" s="86">
        <v>1200000</v>
      </c>
      <c r="F46" s="86">
        <v>1200000</v>
      </c>
      <c r="G46" s="86">
        <v>1200000</v>
      </c>
      <c r="H46" s="86">
        <v>1200000</v>
      </c>
      <c r="I46" s="86">
        <v>1200000</v>
      </c>
      <c r="J46" s="86">
        <v>1200000</v>
      </c>
      <c r="K46" s="86">
        <v>1200000</v>
      </c>
      <c r="L46" s="86">
        <v>1200000</v>
      </c>
      <c r="M46" s="86">
        <v>1200000</v>
      </c>
      <c r="N46" s="185">
        <f>SUM(B46:M46)</f>
        <v>14400000</v>
      </c>
      <c r="O46" s="170">
        <v>14015735.015132599</v>
      </c>
      <c r="P46" s="170">
        <f t="shared" si="11"/>
        <v>-384264.98486740142</v>
      </c>
      <c r="Q46" s="189">
        <f t="shared" si="12"/>
        <v>0.97331493160643046</v>
      </c>
    </row>
    <row r="47" spans="1:17" s="1" customFormat="1">
      <c r="A47" s="134" t="s">
        <v>180</v>
      </c>
      <c r="B47" s="223">
        <f>SUM(B42:B46)</f>
        <v>59391019.158200517</v>
      </c>
      <c r="C47" s="223">
        <f t="shared" ref="C47:M47" si="13">SUM(C42:C46)</f>
        <v>59391019.158200517</v>
      </c>
      <c r="D47" s="223">
        <f t="shared" si="13"/>
        <v>59391019.158200517</v>
      </c>
      <c r="E47" s="223">
        <f t="shared" si="13"/>
        <v>59391019.158200487</v>
      </c>
      <c r="F47" s="223">
        <f t="shared" si="13"/>
        <v>59391019.158200487</v>
      </c>
      <c r="G47" s="223">
        <f t="shared" si="13"/>
        <v>59391019.158200487</v>
      </c>
      <c r="H47" s="223">
        <f t="shared" si="13"/>
        <v>59391019.158200487</v>
      </c>
      <c r="I47" s="223">
        <f t="shared" si="13"/>
        <v>59391019.158200487</v>
      </c>
      <c r="J47" s="223">
        <f t="shared" si="13"/>
        <v>59391019.158200487</v>
      </c>
      <c r="K47" s="223">
        <f t="shared" si="13"/>
        <v>65916102.976914778</v>
      </c>
      <c r="L47" s="223">
        <f t="shared" si="13"/>
        <v>65916102.976914778</v>
      </c>
      <c r="M47" s="223">
        <f t="shared" si="13"/>
        <v>65916102.976914778</v>
      </c>
      <c r="N47" s="224">
        <f>SUM(N42:N46)</f>
        <v>732267481.35454881</v>
      </c>
      <c r="O47" s="224">
        <v>693673989</v>
      </c>
      <c r="P47" s="224">
        <f>N47-O47</f>
        <v>38593492.354548812</v>
      </c>
      <c r="Q47" s="225">
        <f>O47/N47</f>
        <v>0.9472959084798378</v>
      </c>
    </row>
    <row r="48" spans="1:17" ht="15.5" customHeight="1">
      <c r="A48" s="131" t="s">
        <v>117</v>
      </c>
      <c r="B48" s="87"/>
      <c r="C48" s="87"/>
      <c r="D48" s="87"/>
      <c r="E48" s="87"/>
      <c r="F48" s="87"/>
      <c r="G48" s="87"/>
      <c r="H48" s="87"/>
      <c r="I48" s="87"/>
      <c r="J48" s="87"/>
      <c r="K48" s="87"/>
      <c r="L48" s="87"/>
      <c r="M48" s="87"/>
      <c r="N48" s="186"/>
      <c r="O48" s="160"/>
      <c r="P48" s="160"/>
      <c r="Q48" s="160"/>
    </row>
    <row r="49" spans="1:19">
      <c r="A49" s="129" t="s">
        <v>118</v>
      </c>
      <c r="B49" s="92">
        <v>210000</v>
      </c>
      <c r="C49" s="92">
        <v>210000</v>
      </c>
      <c r="D49" s="92">
        <v>210000</v>
      </c>
      <c r="E49" s="92">
        <v>210000</v>
      </c>
      <c r="F49" s="92">
        <v>210000</v>
      </c>
      <c r="G49" s="92">
        <v>210000</v>
      </c>
      <c r="H49" s="92">
        <v>210000</v>
      </c>
      <c r="I49" s="92">
        <v>210000</v>
      </c>
      <c r="J49" s="92">
        <v>210000</v>
      </c>
      <c r="K49" s="92">
        <v>210000</v>
      </c>
      <c r="L49" s="92">
        <v>210000</v>
      </c>
      <c r="M49" s="92">
        <v>210000</v>
      </c>
      <c r="N49" s="236">
        <f>SUM(B49:M49)</f>
        <v>2520000</v>
      </c>
      <c r="O49" s="176">
        <v>2656500</v>
      </c>
      <c r="P49" s="177">
        <f>N49-O49</f>
        <v>-136500</v>
      </c>
      <c r="Q49" s="221">
        <f>O49/N49</f>
        <v>1.0541666666666667</v>
      </c>
    </row>
    <row r="50" spans="1:19">
      <c r="A50" s="129" t="s">
        <v>321</v>
      </c>
      <c r="B50" s="92"/>
      <c r="C50" s="92"/>
      <c r="D50" s="92"/>
      <c r="E50" s="92"/>
      <c r="F50" s="92"/>
      <c r="G50" s="92"/>
      <c r="H50" s="92"/>
      <c r="I50" s="92"/>
      <c r="J50" s="92"/>
      <c r="K50" s="92"/>
      <c r="L50" s="92"/>
      <c r="M50" s="92"/>
      <c r="N50" s="236">
        <f>O50</f>
        <v>15791800</v>
      </c>
      <c r="O50" s="176">
        <v>15791800</v>
      </c>
      <c r="P50" s="177">
        <f t="shared" ref="P50:P74" si="14">N50-O50</f>
        <v>0</v>
      </c>
      <c r="Q50" s="221">
        <f t="shared" ref="Q50:Q74" si="15">O50/N50</f>
        <v>1</v>
      </c>
    </row>
    <row r="51" spans="1:19">
      <c r="A51" s="129" t="s">
        <v>119</v>
      </c>
      <c r="B51" s="86">
        <f>720000+55000</f>
        <v>775000</v>
      </c>
      <c r="C51" s="86">
        <f t="shared" ref="C51:M51" si="16">720000+55000</f>
        <v>775000</v>
      </c>
      <c r="D51" s="86">
        <f t="shared" si="16"/>
        <v>775000</v>
      </c>
      <c r="E51" s="86">
        <f t="shared" si="16"/>
        <v>775000</v>
      </c>
      <c r="F51" s="86">
        <f t="shared" si="16"/>
        <v>775000</v>
      </c>
      <c r="G51" s="86">
        <f t="shared" si="16"/>
        <v>775000</v>
      </c>
      <c r="H51" s="86">
        <f t="shared" si="16"/>
        <v>775000</v>
      </c>
      <c r="I51" s="86">
        <f t="shared" si="16"/>
        <v>775000</v>
      </c>
      <c r="J51" s="86">
        <f t="shared" si="16"/>
        <v>775000</v>
      </c>
      <c r="K51" s="86">
        <f t="shared" si="16"/>
        <v>775000</v>
      </c>
      <c r="L51" s="86">
        <f t="shared" si="16"/>
        <v>775000</v>
      </c>
      <c r="M51" s="86">
        <f t="shared" si="16"/>
        <v>775000</v>
      </c>
      <c r="N51" s="176">
        <f>SUM(B51:M51)</f>
        <v>9300000</v>
      </c>
      <c r="O51" s="176">
        <v>8327000</v>
      </c>
      <c r="P51" s="177">
        <f t="shared" si="14"/>
        <v>973000</v>
      </c>
      <c r="Q51" s="221">
        <f t="shared" si="15"/>
        <v>0.89537634408602151</v>
      </c>
    </row>
    <row r="52" spans="1:19">
      <c r="A52" s="129" t="s">
        <v>181</v>
      </c>
      <c r="B52" s="86">
        <v>1342035</v>
      </c>
      <c r="C52" s="86">
        <v>1342035</v>
      </c>
      <c r="D52" s="86">
        <v>1342035</v>
      </c>
      <c r="E52" s="86">
        <v>1342035</v>
      </c>
      <c r="F52" s="86">
        <v>1342035</v>
      </c>
      <c r="G52" s="86">
        <v>1342035</v>
      </c>
      <c r="H52" s="86">
        <v>1342035</v>
      </c>
      <c r="I52" s="86">
        <v>1342035</v>
      </c>
      <c r="J52" s="86">
        <v>1342035</v>
      </c>
      <c r="K52" s="86">
        <v>1342035</v>
      </c>
      <c r="L52" s="86">
        <v>1342035</v>
      </c>
      <c r="M52" s="86">
        <v>1342035</v>
      </c>
      <c r="N52" s="176">
        <f>SUM(B52:M52)</f>
        <v>16104420</v>
      </c>
      <c r="O52" s="176">
        <v>25442145</v>
      </c>
      <c r="P52" s="177">
        <f t="shared" si="14"/>
        <v>-9337725</v>
      </c>
      <c r="Q52" s="221">
        <f t="shared" si="15"/>
        <v>1.5798237378309805</v>
      </c>
    </row>
    <row r="53" spans="1:19" ht="14" customHeight="1">
      <c r="A53" s="129" t="s">
        <v>120</v>
      </c>
      <c r="B53" s="86">
        <f>N53/12</f>
        <v>1280603.3999999999</v>
      </c>
      <c r="C53" s="86">
        <v>1280603.3999999999</v>
      </c>
      <c r="D53" s="86">
        <v>1280603.3999999999</v>
      </c>
      <c r="E53" s="86">
        <v>1280603.3999999999</v>
      </c>
      <c r="F53" s="86">
        <v>1280603.3999999999</v>
      </c>
      <c r="G53" s="86">
        <v>1280603.3999999999</v>
      </c>
      <c r="H53" s="86">
        <v>1280603.3999999999</v>
      </c>
      <c r="I53" s="86">
        <v>1280603.3999999999</v>
      </c>
      <c r="J53" s="86">
        <v>1280603.3999999999</v>
      </c>
      <c r="K53" s="86">
        <v>1280603.3999999999</v>
      </c>
      <c r="L53" s="86">
        <v>1280603.3999999999</v>
      </c>
      <c r="M53" s="86">
        <v>1280603.3999999999</v>
      </c>
      <c r="N53" s="185">
        <f>(12234658+571376)*120%</f>
        <v>15367240.799999999</v>
      </c>
      <c r="O53" s="176">
        <v>10367240.800000001</v>
      </c>
      <c r="P53" s="177">
        <f t="shared" si="14"/>
        <v>4999999.9999999981</v>
      </c>
      <c r="Q53" s="221">
        <f t="shared" si="15"/>
        <v>0.67463254691759644</v>
      </c>
    </row>
    <row r="54" spans="1:19">
      <c r="A54" s="129" t="s">
        <v>271</v>
      </c>
      <c r="B54" s="86">
        <v>800000</v>
      </c>
      <c r="C54" s="86">
        <v>800000</v>
      </c>
      <c r="D54" s="86">
        <v>800000</v>
      </c>
      <c r="E54" s="86">
        <v>800000</v>
      </c>
      <c r="F54" s="86">
        <v>800000</v>
      </c>
      <c r="G54" s="86">
        <v>800000</v>
      </c>
      <c r="H54" s="86">
        <v>800000</v>
      </c>
      <c r="I54" s="86">
        <v>800000</v>
      </c>
      <c r="J54" s="86">
        <v>800000</v>
      </c>
      <c r="K54" s="86">
        <v>800000</v>
      </c>
      <c r="L54" s="86">
        <v>800000</v>
      </c>
      <c r="M54" s="86">
        <v>800000</v>
      </c>
      <c r="N54" s="185">
        <f>SUM(B54:M54)</f>
        <v>9600000</v>
      </c>
      <c r="O54" s="176">
        <f>N54</f>
        <v>9600000</v>
      </c>
      <c r="P54" s="177">
        <f t="shared" si="14"/>
        <v>0</v>
      </c>
      <c r="Q54" s="221">
        <f t="shared" si="15"/>
        <v>1</v>
      </c>
    </row>
    <row r="55" spans="1:19">
      <c r="A55" s="129" t="s">
        <v>121</v>
      </c>
      <c r="B55" s="86">
        <v>2020000</v>
      </c>
      <c r="C55" s="86">
        <v>2020000</v>
      </c>
      <c r="D55" s="86">
        <v>2020000</v>
      </c>
      <c r="E55" s="86">
        <v>2020000</v>
      </c>
      <c r="F55" s="86">
        <v>2020000</v>
      </c>
      <c r="G55" s="86">
        <v>2020000</v>
      </c>
      <c r="H55" s="86">
        <v>2020000</v>
      </c>
      <c r="I55" s="86">
        <v>2020000</v>
      </c>
      <c r="J55" s="86">
        <v>2020000</v>
      </c>
      <c r="K55" s="86">
        <v>2020000</v>
      </c>
      <c r="L55" s="86">
        <v>2020000</v>
      </c>
      <c r="M55" s="86">
        <v>2020000</v>
      </c>
      <c r="N55" s="176">
        <f>SUM(B55:M55)</f>
        <v>24240000</v>
      </c>
      <c r="O55" s="176">
        <v>14620000</v>
      </c>
      <c r="P55" s="177">
        <f t="shared" si="14"/>
        <v>9620000</v>
      </c>
      <c r="Q55" s="221">
        <f t="shared" si="15"/>
        <v>0.60313531353135319</v>
      </c>
    </row>
    <row r="56" spans="1:19">
      <c r="A56" s="129" t="s">
        <v>123</v>
      </c>
      <c r="B56" s="86">
        <v>3999855</v>
      </c>
      <c r="C56" s="86">
        <v>3999855</v>
      </c>
      <c r="D56" s="86">
        <v>3999855</v>
      </c>
      <c r="E56" s="86">
        <v>3999855</v>
      </c>
      <c r="F56" s="86">
        <v>3999855</v>
      </c>
      <c r="G56" s="86">
        <v>3999855</v>
      </c>
      <c r="H56" s="86">
        <v>3999855</v>
      </c>
      <c r="I56" s="86">
        <v>3999855</v>
      </c>
      <c r="J56" s="86">
        <v>3999855</v>
      </c>
      <c r="K56" s="86">
        <v>3999855</v>
      </c>
      <c r="L56" s="86">
        <v>3999855</v>
      </c>
      <c r="M56" s="86">
        <v>3999855</v>
      </c>
      <c r="N56" s="176">
        <f>SUM(B56:M56)</f>
        <v>47998260</v>
      </c>
      <c r="O56" s="176">
        <v>25843708</v>
      </c>
      <c r="P56" s="177">
        <f t="shared" si="14"/>
        <v>22154552</v>
      </c>
      <c r="Q56" s="221">
        <f t="shared" si="15"/>
        <v>0.53843010142450998</v>
      </c>
    </row>
    <row r="57" spans="1:19">
      <c r="A57" s="129" t="s">
        <v>9</v>
      </c>
      <c r="B57" s="86">
        <f>N57/12</f>
        <v>99705.599999999991</v>
      </c>
      <c r="C57" s="86">
        <v>99705.599999999991</v>
      </c>
      <c r="D57" s="86">
        <v>99705.599999999991</v>
      </c>
      <c r="E57" s="86">
        <v>99705.599999999991</v>
      </c>
      <c r="F57" s="86">
        <v>99705.599999999991</v>
      </c>
      <c r="G57" s="86">
        <v>99705.599999999991</v>
      </c>
      <c r="H57" s="86">
        <v>99705.599999999991</v>
      </c>
      <c r="I57" s="86">
        <v>99705.599999999991</v>
      </c>
      <c r="J57" s="86">
        <v>99705.599999999991</v>
      </c>
      <c r="K57" s="86">
        <v>99705.599999999991</v>
      </c>
      <c r="L57" s="86">
        <v>99705.599999999991</v>
      </c>
      <c r="M57" s="86">
        <v>99705.599999999991</v>
      </c>
      <c r="N57" s="176">
        <f>997056*120%</f>
        <v>1196467.2</v>
      </c>
      <c r="O57" s="176">
        <v>755381</v>
      </c>
      <c r="P57" s="177">
        <f t="shared" si="14"/>
        <v>441086.19999999995</v>
      </c>
      <c r="Q57" s="221">
        <f t="shared" si="15"/>
        <v>0.63134283998759011</v>
      </c>
    </row>
    <row r="58" spans="1:19" ht="14.25" customHeight="1">
      <c r="A58" s="129" t="s">
        <v>122</v>
      </c>
      <c r="B58" s="86">
        <f>N58/12</f>
        <v>14640</v>
      </c>
      <c r="C58" s="86">
        <v>14640</v>
      </c>
      <c r="D58" s="86">
        <v>14640</v>
      </c>
      <c r="E58" s="86">
        <v>14640</v>
      </c>
      <c r="F58" s="86">
        <v>14640</v>
      </c>
      <c r="G58" s="86">
        <v>14640</v>
      </c>
      <c r="H58" s="86">
        <v>14640</v>
      </c>
      <c r="I58" s="86">
        <v>14640</v>
      </c>
      <c r="J58" s="86">
        <v>14640</v>
      </c>
      <c r="K58" s="86">
        <v>14640</v>
      </c>
      <c r="L58" s="86">
        <v>14640</v>
      </c>
      <c r="M58" s="86">
        <v>14640</v>
      </c>
      <c r="N58" s="176">
        <f>146400*120%</f>
        <v>175680</v>
      </c>
      <c r="O58" s="176">
        <f>N58</f>
        <v>175680</v>
      </c>
      <c r="P58" s="177">
        <f t="shared" si="14"/>
        <v>0</v>
      </c>
      <c r="Q58" s="221">
        <f t="shared" si="15"/>
        <v>1</v>
      </c>
    </row>
    <row r="59" spans="1:19">
      <c r="A59" s="129" t="s">
        <v>124</v>
      </c>
      <c r="B59" s="92">
        <v>3294272.8349999995</v>
      </c>
      <c r="C59" s="92">
        <v>3294272.8349999995</v>
      </c>
      <c r="D59" s="92">
        <v>3294272.8349999995</v>
      </c>
      <c r="E59" s="92">
        <v>3294272.8349999995</v>
      </c>
      <c r="F59" s="92">
        <v>3294272.8349999995</v>
      </c>
      <c r="G59" s="92">
        <v>3294272.8349999995</v>
      </c>
      <c r="H59" s="92">
        <v>3294272.8349999995</v>
      </c>
      <c r="I59" s="92">
        <v>3294272.8349999995</v>
      </c>
      <c r="J59" s="92">
        <v>3294272.8349999995</v>
      </c>
      <c r="K59" s="92">
        <v>3294272.8349999995</v>
      </c>
      <c r="L59" s="92">
        <v>3294272.8349999995</v>
      </c>
      <c r="M59" s="92">
        <v>3294272.8349999995</v>
      </c>
      <c r="N59" s="176">
        <v>39531274.019999996</v>
      </c>
      <c r="O59" s="176">
        <v>27024847</v>
      </c>
      <c r="P59" s="177">
        <f>N59-O59</f>
        <v>12506427.019999996</v>
      </c>
      <c r="Q59" s="221">
        <f>O59/N59</f>
        <v>0.68363207789173097</v>
      </c>
    </row>
    <row r="60" spans="1:19">
      <c r="A60" s="129" t="s">
        <v>125</v>
      </c>
      <c r="B60" s="86">
        <v>1172273.2583333331</v>
      </c>
      <c r="C60" s="86">
        <v>1172273.2583333331</v>
      </c>
      <c r="D60" s="86">
        <v>1172273.2583333331</v>
      </c>
      <c r="E60" s="86">
        <v>1172273.2583333331</v>
      </c>
      <c r="F60" s="86">
        <v>1172273.2583333331</v>
      </c>
      <c r="G60" s="86">
        <v>1172273.2583333331</v>
      </c>
      <c r="H60" s="86">
        <v>1172273.2583333331</v>
      </c>
      <c r="I60" s="86">
        <v>1172273.2583333331</v>
      </c>
      <c r="J60" s="86">
        <v>1172273.2583333331</v>
      </c>
      <c r="K60" s="86">
        <v>1172273.2583333331</v>
      </c>
      <c r="L60" s="86">
        <v>1172273.2583333331</v>
      </c>
      <c r="M60" s="86">
        <v>1172273.2583333331</v>
      </c>
      <c r="N60" s="176">
        <f t="shared" ref="N60" si="17">SUM(B60:M60)</f>
        <v>14067279.099999996</v>
      </c>
      <c r="O60" s="237">
        <v>13218820</v>
      </c>
      <c r="P60" s="177">
        <f t="shared" si="14"/>
        <v>848459.0999999959</v>
      </c>
      <c r="Q60" s="221">
        <f t="shared" si="15"/>
        <v>0.93968562833163694</v>
      </c>
    </row>
    <row r="61" spans="1:19">
      <c r="A61" s="129" t="s">
        <v>126</v>
      </c>
      <c r="B61" s="86">
        <f>500000+400000+50000</f>
        <v>950000</v>
      </c>
      <c r="C61" s="86">
        <f t="shared" ref="C61:M61" si="18">500000+400000+50000</f>
        <v>950000</v>
      </c>
      <c r="D61" s="86">
        <f t="shared" si="18"/>
        <v>950000</v>
      </c>
      <c r="E61" s="86">
        <f t="shared" si="18"/>
        <v>950000</v>
      </c>
      <c r="F61" s="86">
        <f t="shared" si="18"/>
        <v>950000</v>
      </c>
      <c r="G61" s="86">
        <f t="shared" si="18"/>
        <v>950000</v>
      </c>
      <c r="H61" s="86">
        <f t="shared" si="18"/>
        <v>950000</v>
      </c>
      <c r="I61" s="86">
        <f t="shared" si="18"/>
        <v>950000</v>
      </c>
      <c r="J61" s="86">
        <f t="shared" si="18"/>
        <v>950000</v>
      </c>
      <c r="K61" s="86">
        <f t="shared" si="18"/>
        <v>950000</v>
      </c>
      <c r="L61" s="86">
        <f t="shared" si="18"/>
        <v>950000</v>
      </c>
      <c r="M61" s="86">
        <f t="shared" si="18"/>
        <v>950000</v>
      </c>
      <c r="N61" s="176">
        <f>SUM(B61:M61)</f>
        <v>11400000</v>
      </c>
      <c r="O61" s="176">
        <v>5803000</v>
      </c>
      <c r="P61" s="177">
        <f t="shared" si="14"/>
        <v>5597000</v>
      </c>
      <c r="Q61" s="221">
        <f t="shared" si="15"/>
        <v>0.50903508771929828</v>
      </c>
    </row>
    <row r="62" spans="1:19">
      <c r="A62" s="129" t="s">
        <v>182</v>
      </c>
      <c r="B62" s="86">
        <v>1038333.3333333334</v>
      </c>
      <c r="C62" s="86">
        <v>1038333.3333333334</v>
      </c>
      <c r="D62" s="86">
        <v>1038333.3333333334</v>
      </c>
      <c r="E62" s="86">
        <v>1038333.3333333334</v>
      </c>
      <c r="F62" s="86">
        <v>1038333.3333333334</v>
      </c>
      <c r="G62" s="86">
        <v>1038333.3333333334</v>
      </c>
      <c r="H62" s="86">
        <v>1038333.3333333334</v>
      </c>
      <c r="I62" s="86">
        <v>1038333.3333333334</v>
      </c>
      <c r="J62" s="86">
        <v>1038333.3333333334</v>
      </c>
      <c r="K62" s="86">
        <v>1038333.3333333334</v>
      </c>
      <c r="L62" s="86">
        <v>1038333.3333333334</v>
      </c>
      <c r="M62" s="86">
        <v>1038333.3333333334</v>
      </c>
      <c r="N62" s="176">
        <f>'INCOME DETAILS'!X124</f>
        <v>12460000</v>
      </c>
      <c r="O62" s="177">
        <v>6460000</v>
      </c>
      <c r="P62" s="177">
        <f t="shared" si="14"/>
        <v>6000000</v>
      </c>
      <c r="Q62" s="221">
        <f t="shared" si="15"/>
        <v>0.5184590690208668</v>
      </c>
      <c r="S62" s="68"/>
    </row>
    <row r="63" spans="1:19">
      <c r="A63" s="129" t="s">
        <v>262</v>
      </c>
      <c r="B63" s="86">
        <f>N63/12</f>
        <v>833333.33333333337</v>
      </c>
      <c r="C63" s="86">
        <v>833333.33333333337</v>
      </c>
      <c r="D63" s="86">
        <v>833333.33333333337</v>
      </c>
      <c r="E63" s="86">
        <v>833333.33333333337</v>
      </c>
      <c r="F63" s="86">
        <v>833333.33333333337</v>
      </c>
      <c r="G63" s="86">
        <v>833333.33333333337</v>
      </c>
      <c r="H63" s="86">
        <v>833333.33333333337</v>
      </c>
      <c r="I63" s="86">
        <v>833333.33333333337</v>
      </c>
      <c r="J63" s="86">
        <v>833333.33333333337</v>
      </c>
      <c r="K63" s="86">
        <v>833333.33333333337</v>
      </c>
      <c r="L63" s="86">
        <v>833333.33333333337</v>
      </c>
      <c r="M63" s="86">
        <v>833333.33333333337</v>
      </c>
      <c r="N63" s="176">
        <v>10000000</v>
      </c>
      <c r="O63" s="176">
        <v>9000000</v>
      </c>
      <c r="P63" s="177">
        <f t="shared" si="14"/>
        <v>1000000</v>
      </c>
      <c r="Q63" s="221">
        <f t="shared" si="15"/>
        <v>0.9</v>
      </c>
      <c r="R63" s="68"/>
    </row>
    <row r="64" spans="1:19">
      <c r="A64" s="129" t="s">
        <v>127</v>
      </c>
      <c r="B64" s="86">
        <f t="shared" ref="B64:B67" si="19">N64/12</f>
        <v>229814.66666666666</v>
      </c>
      <c r="C64" s="86">
        <v>229814.66666666666</v>
      </c>
      <c r="D64" s="86">
        <v>229814.66666666666</v>
      </c>
      <c r="E64" s="86">
        <v>229814.66666666666</v>
      </c>
      <c r="F64" s="86">
        <v>229814.66666666666</v>
      </c>
      <c r="G64" s="86">
        <v>229814.66666666666</v>
      </c>
      <c r="H64" s="86">
        <v>229814.66666666666</v>
      </c>
      <c r="I64" s="86">
        <v>229814.66666666666</v>
      </c>
      <c r="J64" s="86">
        <v>229814.66666666666</v>
      </c>
      <c r="K64" s="86">
        <v>229814.66666666666</v>
      </c>
      <c r="L64" s="86">
        <v>229814.66666666666</v>
      </c>
      <c r="M64" s="86">
        <v>229814.66666666666</v>
      </c>
      <c r="N64" s="185">
        <v>2757776</v>
      </c>
      <c r="O64" s="176">
        <f>N64</f>
        <v>2757776</v>
      </c>
      <c r="P64" s="177">
        <f t="shared" si="14"/>
        <v>0</v>
      </c>
      <c r="Q64" s="221">
        <f t="shared" si="15"/>
        <v>1</v>
      </c>
      <c r="S64" s="175"/>
    </row>
    <row r="65" spans="1:17">
      <c r="A65" s="129" t="s">
        <v>7</v>
      </c>
      <c r="B65" s="86">
        <f t="shared" si="19"/>
        <v>195082.08333333334</v>
      </c>
      <c r="C65" s="86">
        <v>195082.08333333334</v>
      </c>
      <c r="D65" s="86">
        <v>195082.08333333334</v>
      </c>
      <c r="E65" s="86">
        <v>195082.08333333334</v>
      </c>
      <c r="F65" s="86">
        <v>195082.08333333334</v>
      </c>
      <c r="G65" s="86">
        <v>195082.08333333334</v>
      </c>
      <c r="H65" s="86">
        <v>195082.08333333334</v>
      </c>
      <c r="I65" s="86">
        <v>195082.08333333334</v>
      </c>
      <c r="J65" s="86">
        <v>195082.08333333334</v>
      </c>
      <c r="K65" s="86">
        <v>195082.08333333334</v>
      </c>
      <c r="L65" s="86">
        <v>195082.08333333334</v>
      </c>
      <c r="M65" s="86">
        <v>195082.08333333334</v>
      </c>
      <c r="N65" s="185">
        <v>2340985</v>
      </c>
      <c r="O65" s="176">
        <v>1148195</v>
      </c>
      <c r="P65" s="177">
        <f t="shared" si="14"/>
        <v>1192790</v>
      </c>
      <c r="Q65" s="221">
        <f t="shared" si="15"/>
        <v>0.4904751632325709</v>
      </c>
    </row>
    <row r="66" spans="1:17">
      <c r="A66" s="129" t="s">
        <v>183</v>
      </c>
      <c r="B66" s="86">
        <f t="shared" si="19"/>
        <v>333333.33333333331</v>
      </c>
      <c r="C66" s="86">
        <v>333333.33333333331</v>
      </c>
      <c r="D66" s="86">
        <v>333333.33333333331</v>
      </c>
      <c r="E66" s="86">
        <v>333333.33333333331</v>
      </c>
      <c r="F66" s="86">
        <v>333333.33333333331</v>
      </c>
      <c r="G66" s="86">
        <v>333333.33333333331</v>
      </c>
      <c r="H66" s="86">
        <v>333333.33333333331</v>
      </c>
      <c r="I66" s="86">
        <v>333333.33333333331</v>
      </c>
      <c r="J66" s="86">
        <v>333333.33333333331</v>
      </c>
      <c r="K66" s="86">
        <v>333333.33333333331</v>
      </c>
      <c r="L66" s="86">
        <v>333333.33333333331</v>
      </c>
      <c r="M66" s="86">
        <v>333333.33333333331</v>
      </c>
      <c r="N66" s="185">
        <v>4000000</v>
      </c>
      <c r="O66" s="176">
        <v>1000000</v>
      </c>
      <c r="P66" s="177">
        <f t="shared" si="14"/>
        <v>3000000</v>
      </c>
      <c r="Q66" s="221">
        <f t="shared" si="15"/>
        <v>0.25</v>
      </c>
    </row>
    <row r="67" spans="1:17">
      <c r="A67" s="132" t="s">
        <v>188</v>
      </c>
      <c r="B67" s="86">
        <f t="shared" si="19"/>
        <v>410922.74999999994</v>
      </c>
      <c r="C67" s="86">
        <v>410922.74999999994</v>
      </c>
      <c r="D67" s="86">
        <v>410922.74999999994</v>
      </c>
      <c r="E67" s="86">
        <v>410922.74999999994</v>
      </c>
      <c r="F67" s="86">
        <v>410922.74999999994</v>
      </c>
      <c r="G67" s="86">
        <v>410922.74999999994</v>
      </c>
      <c r="H67" s="86">
        <v>410922.74999999994</v>
      </c>
      <c r="I67" s="86">
        <v>410922.74999999994</v>
      </c>
      <c r="J67" s="86">
        <v>410922.74999999994</v>
      </c>
      <c r="K67" s="86">
        <v>410922.74999999994</v>
      </c>
      <c r="L67" s="86">
        <v>410922.74999999994</v>
      </c>
      <c r="M67" s="86">
        <v>410922.74999999994</v>
      </c>
      <c r="N67" s="185">
        <v>4931072.9999999991</v>
      </c>
      <c r="O67" s="176">
        <v>9533200</v>
      </c>
      <c r="P67" s="177">
        <f t="shared" si="14"/>
        <v>-4602127.0000000009</v>
      </c>
      <c r="Q67" s="221">
        <f t="shared" si="15"/>
        <v>1.9332911924037632</v>
      </c>
    </row>
    <row r="68" spans="1:17">
      <c r="A68" s="132" t="s">
        <v>128</v>
      </c>
      <c r="B68" s="86">
        <f>N68/12</f>
        <v>486777.08333333326</v>
      </c>
      <c r="C68" s="86">
        <v>486777.08333333326</v>
      </c>
      <c r="D68" s="86">
        <v>486777.08333333326</v>
      </c>
      <c r="E68" s="86">
        <v>486777.08333333326</v>
      </c>
      <c r="F68" s="86">
        <v>486777.08333333326</v>
      </c>
      <c r="G68" s="86">
        <v>486777.08333333326</v>
      </c>
      <c r="H68" s="86">
        <v>486777.08333333326</v>
      </c>
      <c r="I68" s="86">
        <v>486777.08333333326</v>
      </c>
      <c r="J68" s="86">
        <v>486777.08333333326</v>
      </c>
      <c r="K68" s="86">
        <v>486777.08333333326</v>
      </c>
      <c r="L68" s="86">
        <v>486777.08333333326</v>
      </c>
      <c r="M68" s="86">
        <v>486777.08333333326</v>
      </c>
      <c r="N68" s="185">
        <v>5841324.9999999991</v>
      </c>
      <c r="O68" s="176">
        <f>13936530</f>
        <v>13936530</v>
      </c>
      <c r="P68" s="177">
        <f t="shared" si="14"/>
        <v>-8095205.0000000009</v>
      </c>
      <c r="Q68" s="221">
        <f t="shared" si="15"/>
        <v>2.3858508129576768</v>
      </c>
    </row>
    <row r="69" spans="1:17">
      <c r="A69" s="132" t="s">
        <v>8</v>
      </c>
      <c r="B69" s="86">
        <f>N69/12</f>
        <v>250000</v>
      </c>
      <c r="C69" s="86">
        <v>250000</v>
      </c>
      <c r="D69" s="86">
        <v>250000</v>
      </c>
      <c r="E69" s="86">
        <v>250000</v>
      </c>
      <c r="F69" s="86">
        <v>250000</v>
      </c>
      <c r="G69" s="86">
        <v>250000</v>
      </c>
      <c r="H69" s="86">
        <v>250000</v>
      </c>
      <c r="I69" s="86">
        <v>250000</v>
      </c>
      <c r="J69" s="86">
        <v>250000</v>
      </c>
      <c r="K69" s="86">
        <v>250000</v>
      </c>
      <c r="L69" s="86">
        <v>250000</v>
      </c>
      <c r="M69" s="86">
        <v>250000</v>
      </c>
      <c r="N69" s="185">
        <v>3000000</v>
      </c>
      <c r="O69" s="176">
        <v>0</v>
      </c>
      <c r="P69" s="177">
        <f t="shared" si="14"/>
        <v>3000000</v>
      </c>
      <c r="Q69" s="221">
        <f t="shared" si="15"/>
        <v>0</v>
      </c>
    </row>
    <row r="70" spans="1:17" ht="15" customHeight="1">
      <c r="A70" s="129" t="s">
        <v>184</v>
      </c>
      <c r="B70" s="86">
        <f t="shared" ref="B70:B71" si="20">N70/12</f>
        <v>250000</v>
      </c>
      <c r="C70" s="86">
        <v>250000</v>
      </c>
      <c r="D70" s="86">
        <v>250000</v>
      </c>
      <c r="E70" s="86">
        <v>250000</v>
      </c>
      <c r="F70" s="86">
        <v>250000</v>
      </c>
      <c r="G70" s="86">
        <v>250000</v>
      </c>
      <c r="H70" s="86">
        <v>250000</v>
      </c>
      <c r="I70" s="86">
        <v>250000</v>
      </c>
      <c r="J70" s="86">
        <v>250000</v>
      </c>
      <c r="K70" s="86">
        <v>250000</v>
      </c>
      <c r="L70" s="86">
        <v>250000</v>
      </c>
      <c r="M70" s="86">
        <v>250000</v>
      </c>
      <c r="N70" s="185">
        <v>3000000</v>
      </c>
      <c r="O70" s="176">
        <f>N70</f>
        <v>3000000</v>
      </c>
      <c r="P70" s="177">
        <f t="shared" si="14"/>
        <v>0</v>
      </c>
      <c r="Q70" s="221">
        <f t="shared" si="15"/>
        <v>1</v>
      </c>
    </row>
    <row r="71" spans="1:17">
      <c r="A71" s="129" t="s">
        <v>186</v>
      </c>
      <c r="B71" s="86">
        <f t="shared" si="20"/>
        <v>416666.66666666669</v>
      </c>
      <c r="C71" s="86">
        <v>416666.66666666669</v>
      </c>
      <c r="D71" s="86">
        <v>416666.66666666669</v>
      </c>
      <c r="E71" s="86">
        <v>416666.66666666669</v>
      </c>
      <c r="F71" s="86">
        <v>416666.66666666669</v>
      </c>
      <c r="G71" s="86">
        <v>416666.66666666669</v>
      </c>
      <c r="H71" s="86">
        <v>416666.66666666669</v>
      </c>
      <c r="I71" s="86">
        <v>416666.66666666669</v>
      </c>
      <c r="J71" s="86">
        <v>416666.66666666669</v>
      </c>
      <c r="K71" s="86">
        <v>416666.66666666669</v>
      </c>
      <c r="L71" s="86">
        <v>416666.66666666669</v>
      </c>
      <c r="M71" s="86">
        <v>416666.66666666669</v>
      </c>
      <c r="N71" s="185">
        <v>5000000</v>
      </c>
      <c r="O71" s="176">
        <v>4968500</v>
      </c>
      <c r="P71" s="177">
        <f t="shared" si="14"/>
        <v>31500</v>
      </c>
      <c r="Q71" s="221">
        <f t="shared" si="15"/>
        <v>0.99370000000000003</v>
      </c>
    </row>
    <row r="72" spans="1:17">
      <c r="A72" s="129" t="s">
        <v>129</v>
      </c>
      <c r="B72" s="86">
        <v>400000</v>
      </c>
      <c r="C72" s="86">
        <v>400000</v>
      </c>
      <c r="D72" s="86">
        <v>400000</v>
      </c>
      <c r="E72" s="86">
        <v>400000</v>
      </c>
      <c r="F72" s="86">
        <v>400000</v>
      </c>
      <c r="G72" s="86">
        <v>400000</v>
      </c>
      <c r="H72" s="86">
        <v>400000</v>
      </c>
      <c r="I72" s="86">
        <v>400000</v>
      </c>
      <c r="J72" s="86">
        <v>400000</v>
      </c>
      <c r="K72" s="86">
        <v>400000</v>
      </c>
      <c r="L72" s="86">
        <v>400000</v>
      </c>
      <c r="M72" s="86">
        <v>400000</v>
      </c>
      <c r="N72" s="176">
        <f>SUM(B72:M72)</f>
        <v>4800000</v>
      </c>
      <c r="O72" s="176">
        <f>N72</f>
        <v>4800000</v>
      </c>
      <c r="P72" s="177">
        <f t="shared" si="14"/>
        <v>0</v>
      </c>
      <c r="Q72" s="221">
        <f t="shared" si="15"/>
        <v>1</v>
      </c>
    </row>
    <row r="73" spans="1:17">
      <c r="A73" s="132" t="s">
        <v>207</v>
      </c>
      <c r="B73" s="86">
        <v>3024380</v>
      </c>
      <c r="C73" s="86">
        <v>3024380</v>
      </c>
      <c r="D73" s="86">
        <v>3024380</v>
      </c>
      <c r="E73" s="86">
        <v>3024380</v>
      </c>
      <c r="F73" s="86">
        <v>3024380</v>
      </c>
      <c r="G73" s="86">
        <v>3024380</v>
      </c>
      <c r="H73" s="86">
        <v>3024380</v>
      </c>
      <c r="I73" s="86">
        <v>3024380</v>
      </c>
      <c r="J73" s="86">
        <v>3024380</v>
      </c>
      <c r="K73" s="86">
        <v>3024380</v>
      </c>
      <c r="L73" s="86">
        <v>3024380</v>
      </c>
      <c r="M73" s="86">
        <v>3024380</v>
      </c>
      <c r="N73" s="176">
        <f>SUM(B73:M73)</f>
        <v>36292560</v>
      </c>
      <c r="O73" s="176">
        <v>36292560</v>
      </c>
      <c r="P73" s="177">
        <f t="shared" si="14"/>
        <v>0</v>
      </c>
      <c r="Q73" s="221">
        <f t="shared" si="15"/>
        <v>1</v>
      </c>
    </row>
    <row r="74" spans="1:17">
      <c r="A74" s="132" t="s">
        <v>130</v>
      </c>
      <c r="B74" s="86">
        <v>5000000</v>
      </c>
      <c r="C74" s="86">
        <v>5000000</v>
      </c>
      <c r="D74" s="86">
        <v>5000000</v>
      </c>
      <c r="E74" s="86">
        <v>5000000</v>
      </c>
      <c r="F74" s="86">
        <v>5000000</v>
      </c>
      <c r="G74" s="86">
        <v>5000000</v>
      </c>
      <c r="H74" s="86">
        <v>5000000</v>
      </c>
      <c r="I74" s="86">
        <v>5000000</v>
      </c>
      <c r="J74" s="86">
        <v>5000000</v>
      </c>
      <c r="K74" s="86">
        <v>5000000</v>
      </c>
      <c r="L74" s="86">
        <v>5000000</v>
      </c>
      <c r="M74" s="86">
        <v>5000000</v>
      </c>
      <c r="N74" s="185">
        <f>SUM(B74:M74)</f>
        <v>60000000</v>
      </c>
      <c r="O74" s="176">
        <v>38666806</v>
      </c>
      <c r="P74" s="177">
        <f t="shared" si="14"/>
        <v>21333194</v>
      </c>
      <c r="Q74" s="221">
        <f t="shared" si="15"/>
        <v>0.64444676666666667</v>
      </c>
    </row>
    <row r="75" spans="1:17" s="1" customFormat="1">
      <c r="A75" s="133" t="s">
        <v>131</v>
      </c>
      <c r="B75" s="94">
        <f t="shared" ref="B75:M75" si="21">SUM(B49:B74)</f>
        <v>28827028.34333333</v>
      </c>
      <c r="C75" s="94">
        <f t="shared" si="21"/>
        <v>28827028.34333333</v>
      </c>
      <c r="D75" s="94">
        <f t="shared" si="21"/>
        <v>28827028.34333333</v>
      </c>
      <c r="E75" s="94">
        <f t="shared" si="21"/>
        <v>28827028.34333333</v>
      </c>
      <c r="F75" s="94">
        <f t="shared" si="21"/>
        <v>28827028.34333333</v>
      </c>
      <c r="G75" s="94">
        <f t="shared" si="21"/>
        <v>28827028.34333333</v>
      </c>
      <c r="H75" s="94">
        <f t="shared" si="21"/>
        <v>28827028.34333333</v>
      </c>
      <c r="I75" s="94">
        <f t="shared" si="21"/>
        <v>28827028.34333333</v>
      </c>
      <c r="J75" s="94">
        <f t="shared" si="21"/>
        <v>28827028.34333333</v>
      </c>
      <c r="K75" s="94">
        <f t="shared" si="21"/>
        <v>28827028.34333333</v>
      </c>
      <c r="L75" s="94">
        <f t="shared" si="21"/>
        <v>28827028.34333333</v>
      </c>
      <c r="M75" s="94">
        <f t="shared" si="21"/>
        <v>28827028.34333333</v>
      </c>
      <c r="N75" s="27">
        <f>SUM(N49:N74)</f>
        <v>361716140.12</v>
      </c>
      <c r="O75" s="27">
        <f t="shared" ref="O75:P75" si="22">SUM(O49:O74)</f>
        <v>291189688.80000001</v>
      </c>
      <c r="P75" s="27">
        <f t="shared" si="22"/>
        <v>70526451.319999993</v>
      </c>
      <c r="Q75" s="172">
        <f>O75/N75</f>
        <v>0.80502265866100775</v>
      </c>
    </row>
    <row r="76" spans="1:17">
      <c r="A76" s="211" t="s">
        <v>132</v>
      </c>
      <c r="B76" s="212"/>
      <c r="C76" s="212"/>
      <c r="D76" s="212"/>
      <c r="E76" s="212"/>
      <c r="F76" s="212"/>
      <c r="G76" s="212"/>
      <c r="H76" s="212"/>
      <c r="I76" s="212"/>
      <c r="J76" s="212"/>
      <c r="K76" s="212"/>
      <c r="L76" s="212"/>
      <c r="M76" s="212"/>
      <c r="N76" s="213"/>
      <c r="O76" s="214"/>
      <c r="P76" s="214"/>
      <c r="Q76" s="214"/>
    </row>
    <row r="77" spans="1:17">
      <c r="A77" s="129" t="s">
        <v>133</v>
      </c>
      <c r="B77" s="86">
        <v>1250000</v>
      </c>
      <c r="C77" s="86">
        <v>1250000</v>
      </c>
      <c r="D77" s="86">
        <v>1250000</v>
      </c>
      <c r="E77" s="86">
        <v>1250000</v>
      </c>
      <c r="F77" s="86">
        <v>1250000</v>
      </c>
      <c r="G77" s="86">
        <v>1250000</v>
      </c>
      <c r="H77" s="86">
        <v>1250000</v>
      </c>
      <c r="I77" s="86">
        <v>1250000</v>
      </c>
      <c r="J77" s="86">
        <v>1250000</v>
      </c>
      <c r="K77" s="86">
        <v>1250000</v>
      </c>
      <c r="L77" s="86">
        <v>1250000</v>
      </c>
      <c r="M77" s="86">
        <v>1250000</v>
      </c>
      <c r="N77" s="185">
        <v>15000000</v>
      </c>
      <c r="O77" s="176">
        <f>12732204+1030000</f>
        <v>13762204</v>
      </c>
      <c r="P77" s="176">
        <f t="shared" ref="P77:P83" si="23">N77-O77</f>
        <v>1237796</v>
      </c>
      <c r="Q77" s="221">
        <f t="shared" ref="Q77:Q95" si="24">O77/N77</f>
        <v>0.91748026666666671</v>
      </c>
    </row>
    <row r="78" spans="1:17">
      <c r="A78" s="129" t="s">
        <v>134</v>
      </c>
      <c r="B78" s="86">
        <v>170000</v>
      </c>
      <c r="C78" s="86">
        <v>170000</v>
      </c>
      <c r="D78" s="86">
        <v>170000</v>
      </c>
      <c r="E78" s="86">
        <v>170000</v>
      </c>
      <c r="F78" s="86">
        <v>170000</v>
      </c>
      <c r="G78" s="86">
        <v>170000</v>
      </c>
      <c r="H78" s="86">
        <v>170000</v>
      </c>
      <c r="I78" s="86">
        <v>170000</v>
      </c>
      <c r="J78" s="86">
        <v>170000</v>
      </c>
      <c r="K78" s="86">
        <v>170000</v>
      </c>
      <c r="L78" s="86">
        <v>170000</v>
      </c>
      <c r="M78" s="86">
        <v>170000</v>
      </c>
      <c r="N78" s="185">
        <f>SUM(B78:M78)</f>
        <v>2040000</v>
      </c>
      <c r="O78" s="176">
        <f>N78</f>
        <v>2040000</v>
      </c>
      <c r="P78" s="176">
        <f t="shared" si="23"/>
        <v>0</v>
      </c>
      <c r="Q78" s="221">
        <f t="shared" si="24"/>
        <v>1</v>
      </c>
    </row>
    <row r="79" spans="1:17">
      <c r="A79" s="132" t="s">
        <v>185</v>
      </c>
      <c r="B79" s="86">
        <v>1080208.3366666667</v>
      </c>
      <c r="C79" s="86">
        <v>1080208.3366666667</v>
      </c>
      <c r="D79" s="86">
        <v>1080208.3366666699</v>
      </c>
      <c r="E79" s="86">
        <v>1080208.3366666667</v>
      </c>
      <c r="F79" s="86">
        <v>1080208.3366666667</v>
      </c>
      <c r="G79" s="86">
        <v>1080208.3366666667</v>
      </c>
      <c r="H79" s="86">
        <v>1080208.3366666667</v>
      </c>
      <c r="I79" s="86">
        <v>1080208.3366666667</v>
      </c>
      <c r="J79" s="86">
        <v>1080208.3366666667</v>
      </c>
      <c r="K79" s="86">
        <v>1080208.3366666667</v>
      </c>
      <c r="L79" s="86">
        <v>1080208.3366666667</v>
      </c>
      <c r="M79" s="86">
        <v>1080208.3366666667</v>
      </c>
      <c r="N79" s="185">
        <v>12962500.039999999</v>
      </c>
      <c r="O79" s="176">
        <v>17371600</v>
      </c>
      <c r="P79" s="176">
        <f t="shared" si="23"/>
        <v>-4409099.9600000009</v>
      </c>
      <c r="Q79" s="221">
        <f t="shared" si="24"/>
        <v>1.3401427152473899</v>
      </c>
    </row>
    <row r="80" spans="1:17">
      <c r="A80" s="129" t="s">
        <v>135</v>
      </c>
      <c r="B80" s="86">
        <v>1084000</v>
      </c>
      <c r="C80" s="86">
        <v>1084000</v>
      </c>
      <c r="D80" s="86">
        <v>1084000</v>
      </c>
      <c r="E80" s="86">
        <v>1084000</v>
      </c>
      <c r="F80" s="86">
        <v>1084000</v>
      </c>
      <c r="G80" s="86">
        <v>1084000</v>
      </c>
      <c r="H80" s="86">
        <v>1084000</v>
      </c>
      <c r="I80" s="86">
        <v>1084000</v>
      </c>
      <c r="J80" s="86">
        <v>1084000</v>
      </c>
      <c r="K80" s="86">
        <v>1084000</v>
      </c>
      <c r="L80" s="86">
        <v>1084000</v>
      </c>
      <c r="M80" s="86">
        <v>1084000</v>
      </c>
      <c r="N80" s="185">
        <f>SUM(B80:M80)</f>
        <v>13008000</v>
      </c>
      <c r="O80" s="176">
        <v>16432170</v>
      </c>
      <c r="P80" s="176">
        <f t="shared" si="23"/>
        <v>-3424170</v>
      </c>
      <c r="Q80" s="221">
        <f t="shared" si="24"/>
        <v>1.263235701107011</v>
      </c>
    </row>
    <row r="81" spans="1:17" ht="28">
      <c r="A81" s="129" t="s">
        <v>136</v>
      </c>
      <c r="B81" s="86">
        <v>300000</v>
      </c>
      <c r="C81" s="86">
        <v>300000</v>
      </c>
      <c r="D81" s="86">
        <v>300000</v>
      </c>
      <c r="E81" s="86">
        <v>300000</v>
      </c>
      <c r="F81" s="86">
        <v>300000</v>
      </c>
      <c r="G81" s="86">
        <v>300000</v>
      </c>
      <c r="H81" s="86">
        <v>300000</v>
      </c>
      <c r="I81" s="86">
        <v>300000</v>
      </c>
      <c r="J81" s="86">
        <v>300000</v>
      </c>
      <c r="K81" s="86">
        <v>300000</v>
      </c>
      <c r="L81" s="86">
        <v>300000</v>
      </c>
      <c r="M81" s="86">
        <v>300000</v>
      </c>
      <c r="N81" s="185">
        <f>SUM(B81:M81)</f>
        <v>3600000</v>
      </c>
      <c r="O81" s="176">
        <v>5058925</v>
      </c>
      <c r="P81" s="176">
        <f t="shared" si="23"/>
        <v>-1458925</v>
      </c>
      <c r="Q81" s="221">
        <f t="shared" si="24"/>
        <v>1.4052569444444445</v>
      </c>
    </row>
    <row r="82" spans="1:17">
      <c r="A82" s="129" t="s">
        <v>260</v>
      </c>
      <c r="B82" s="86">
        <v>3600000</v>
      </c>
      <c r="C82" s="86">
        <v>3600000</v>
      </c>
      <c r="D82" s="86">
        <v>3600000</v>
      </c>
      <c r="E82" s="86">
        <v>3600000</v>
      </c>
      <c r="F82" s="86">
        <v>3600000</v>
      </c>
      <c r="G82" s="86">
        <v>3600000</v>
      </c>
      <c r="H82" s="86">
        <v>3600000</v>
      </c>
      <c r="I82" s="86">
        <v>3600000</v>
      </c>
      <c r="J82" s="86">
        <v>3600000</v>
      </c>
      <c r="K82" s="86">
        <v>3600000</v>
      </c>
      <c r="L82" s="86">
        <v>3600000</v>
      </c>
      <c r="M82" s="86">
        <v>3600000</v>
      </c>
      <c r="N82" s="185">
        <f>SUM(B82:M82)</f>
        <v>43200000</v>
      </c>
      <c r="O82" s="176">
        <f>12000000</f>
        <v>12000000</v>
      </c>
      <c r="P82" s="176">
        <f t="shared" si="23"/>
        <v>31200000</v>
      </c>
      <c r="Q82" s="221">
        <f t="shared" si="24"/>
        <v>0.27777777777777779</v>
      </c>
    </row>
    <row r="83" spans="1:17">
      <c r="A83" s="215" t="s">
        <v>187</v>
      </c>
      <c r="B83" s="216">
        <f>N83/12</f>
        <v>758333.33333333337</v>
      </c>
      <c r="C83" s="216">
        <v>758333.33333333337</v>
      </c>
      <c r="D83" s="216">
        <v>758333.33333333337</v>
      </c>
      <c r="E83" s="216">
        <v>758333.33333333337</v>
      </c>
      <c r="F83" s="216">
        <v>758333.33333333337</v>
      </c>
      <c r="G83" s="216">
        <v>758333.33333333337</v>
      </c>
      <c r="H83" s="216">
        <v>758333.33333333337</v>
      </c>
      <c r="I83" s="216">
        <v>758333.33333333337</v>
      </c>
      <c r="J83" s="216">
        <v>758333.33333333337</v>
      </c>
      <c r="K83" s="216">
        <v>758333.33333333337</v>
      </c>
      <c r="L83" s="216">
        <v>758333.33333333337</v>
      </c>
      <c r="M83" s="216">
        <v>758333.33333333337</v>
      </c>
      <c r="N83" s="238">
        <v>9100000</v>
      </c>
      <c r="O83" s="239">
        <v>0</v>
      </c>
      <c r="P83" s="240">
        <f t="shared" si="23"/>
        <v>9100000</v>
      </c>
      <c r="Q83" s="241">
        <f t="shared" si="24"/>
        <v>0</v>
      </c>
    </row>
    <row r="84" spans="1:17" s="1" customFormat="1">
      <c r="A84" s="134" t="s">
        <v>137</v>
      </c>
      <c r="B84" s="94">
        <f>SUM(B77:B83)</f>
        <v>8242541.6699999999</v>
      </c>
      <c r="C84" s="94">
        <f t="shared" ref="C84:P84" si="25">SUM(C77:C83)</f>
        <v>8242541.6699999999</v>
      </c>
      <c r="D84" s="94">
        <f t="shared" si="25"/>
        <v>8242541.6700000027</v>
      </c>
      <c r="E84" s="94">
        <f t="shared" si="25"/>
        <v>8242541.6699999999</v>
      </c>
      <c r="F84" s="94">
        <f t="shared" si="25"/>
        <v>8242541.6699999999</v>
      </c>
      <c r="G84" s="94">
        <f t="shared" si="25"/>
        <v>8242541.6699999999</v>
      </c>
      <c r="H84" s="94">
        <f t="shared" si="25"/>
        <v>8242541.6699999999</v>
      </c>
      <c r="I84" s="94">
        <f t="shared" si="25"/>
        <v>8242541.6699999999</v>
      </c>
      <c r="J84" s="94">
        <f t="shared" si="25"/>
        <v>8242541.6699999999</v>
      </c>
      <c r="K84" s="94">
        <f t="shared" si="25"/>
        <v>8242541.6699999999</v>
      </c>
      <c r="L84" s="94">
        <f t="shared" si="25"/>
        <v>8242541.6699999999</v>
      </c>
      <c r="M84" s="94">
        <f t="shared" si="25"/>
        <v>8242541.6699999999</v>
      </c>
      <c r="N84" s="27">
        <f t="shared" si="25"/>
        <v>98910500.039999992</v>
      </c>
      <c r="O84" s="27">
        <f t="shared" si="25"/>
        <v>66664899</v>
      </c>
      <c r="P84" s="27">
        <f t="shared" si="25"/>
        <v>32245601.039999999</v>
      </c>
      <c r="Q84" s="172">
        <f>O84/N84</f>
        <v>0.67399213403066738</v>
      </c>
    </row>
    <row r="85" spans="1:17">
      <c r="A85" s="131" t="s">
        <v>138</v>
      </c>
      <c r="B85" s="86"/>
      <c r="C85" s="86"/>
      <c r="D85" s="86"/>
      <c r="E85" s="86"/>
      <c r="F85" s="86"/>
      <c r="G85" s="86"/>
      <c r="H85" s="86"/>
      <c r="I85" s="86"/>
      <c r="J85" s="86"/>
      <c r="K85" s="86"/>
      <c r="L85" s="86"/>
      <c r="M85" s="86"/>
      <c r="N85" s="169"/>
      <c r="O85" s="160"/>
      <c r="P85" s="170"/>
      <c r="Q85" s="189"/>
    </row>
    <row r="86" spans="1:17">
      <c r="A86" s="129" t="s">
        <v>139</v>
      </c>
      <c r="B86" s="86">
        <f>N86/12</f>
        <v>73333.333333333343</v>
      </c>
      <c r="C86" s="86">
        <v>73333.333333333343</v>
      </c>
      <c r="D86" s="86">
        <v>73333.333333333343</v>
      </c>
      <c r="E86" s="86">
        <v>73333.333333333343</v>
      </c>
      <c r="F86" s="86">
        <v>73333.333333333343</v>
      </c>
      <c r="G86" s="86">
        <v>73333.333333333343</v>
      </c>
      <c r="H86" s="86">
        <v>73333.333333333343</v>
      </c>
      <c r="I86" s="86">
        <v>73333.333333333343</v>
      </c>
      <c r="J86" s="86">
        <v>73333.333333333343</v>
      </c>
      <c r="K86" s="86">
        <v>73333.333333333343</v>
      </c>
      <c r="L86" s="86">
        <v>73333.333333333343</v>
      </c>
      <c r="M86" s="86">
        <v>73333.333333333343</v>
      </c>
      <c r="N86" s="185">
        <v>880000.00000000012</v>
      </c>
      <c r="O86" s="160">
        <v>0</v>
      </c>
      <c r="P86" s="170">
        <f t="shared" ref="P86:P94" si="26">N86-O86</f>
        <v>880000.00000000012</v>
      </c>
      <c r="Q86" s="189">
        <f t="shared" si="24"/>
        <v>0</v>
      </c>
    </row>
    <row r="87" spans="1:17">
      <c r="A87" s="129" t="s">
        <v>189</v>
      </c>
      <c r="B87" s="86">
        <f>N87/12</f>
        <v>125000</v>
      </c>
      <c r="C87" s="86">
        <v>125000</v>
      </c>
      <c r="D87" s="86">
        <v>125000</v>
      </c>
      <c r="E87" s="86">
        <v>125000</v>
      </c>
      <c r="F87" s="86">
        <v>125000</v>
      </c>
      <c r="G87" s="86">
        <v>125000</v>
      </c>
      <c r="H87" s="86">
        <v>125000</v>
      </c>
      <c r="I87" s="86">
        <v>125000</v>
      </c>
      <c r="J87" s="86">
        <v>125000</v>
      </c>
      <c r="K87" s="86">
        <v>125000</v>
      </c>
      <c r="L87" s="86">
        <v>125000</v>
      </c>
      <c r="M87" s="86">
        <v>125000</v>
      </c>
      <c r="N87" s="185">
        <v>1500000</v>
      </c>
      <c r="O87" s="176">
        <v>1000000</v>
      </c>
      <c r="P87" s="170">
        <f t="shared" si="26"/>
        <v>500000</v>
      </c>
      <c r="Q87" s="189">
        <f t="shared" si="24"/>
        <v>0.66666666666666663</v>
      </c>
    </row>
    <row r="88" spans="1:17">
      <c r="A88" s="129" t="s">
        <v>140</v>
      </c>
      <c r="B88" s="86">
        <v>431112.5</v>
      </c>
      <c r="C88" s="86">
        <v>431112.5</v>
      </c>
      <c r="D88" s="86">
        <v>431112.5</v>
      </c>
      <c r="E88" s="86">
        <v>431112.5</v>
      </c>
      <c r="F88" s="86">
        <v>431112.5</v>
      </c>
      <c r="G88" s="86">
        <v>431112.5</v>
      </c>
      <c r="H88" s="86">
        <v>431112.5</v>
      </c>
      <c r="I88" s="86">
        <v>431112.5</v>
      </c>
      <c r="J88" s="86">
        <v>431112.5</v>
      </c>
      <c r="K88" s="86">
        <v>431112.5</v>
      </c>
      <c r="L88" s="86">
        <v>431112.5</v>
      </c>
      <c r="M88" s="86">
        <v>431112.5</v>
      </c>
      <c r="N88" s="185">
        <v>5173350</v>
      </c>
      <c r="O88" s="176">
        <v>5563400</v>
      </c>
      <c r="P88" s="170">
        <f t="shared" si="26"/>
        <v>-390050</v>
      </c>
      <c r="Q88" s="189">
        <f t="shared" si="24"/>
        <v>1.0753960199870489</v>
      </c>
    </row>
    <row r="89" spans="1:17" ht="28">
      <c r="A89" s="129" t="s">
        <v>141</v>
      </c>
      <c r="B89" s="86">
        <v>250000</v>
      </c>
      <c r="C89" s="86">
        <v>250000</v>
      </c>
      <c r="D89" s="86">
        <v>250000</v>
      </c>
      <c r="E89" s="86">
        <v>250000</v>
      </c>
      <c r="F89" s="86">
        <v>250000</v>
      </c>
      <c r="G89" s="86">
        <v>250000</v>
      </c>
      <c r="H89" s="86">
        <v>250000</v>
      </c>
      <c r="I89" s="86">
        <v>250000</v>
      </c>
      <c r="J89" s="86">
        <v>250000</v>
      </c>
      <c r="K89" s="86">
        <v>250000</v>
      </c>
      <c r="L89" s="86">
        <v>250000</v>
      </c>
      <c r="M89" s="86">
        <v>250000</v>
      </c>
      <c r="N89" s="185">
        <v>5173350</v>
      </c>
      <c r="O89" s="177">
        <f>N89</f>
        <v>5173350</v>
      </c>
      <c r="P89" s="170">
        <f t="shared" si="26"/>
        <v>0</v>
      </c>
      <c r="Q89" s="189">
        <f t="shared" si="24"/>
        <v>1</v>
      </c>
    </row>
    <row r="90" spans="1:17">
      <c r="A90" s="129" t="s">
        <v>190</v>
      </c>
      <c r="B90" s="86">
        <v>666166.66666666663</v>
      </c>
      <c r="C90" s="86">
        <v>666166.66666666663</v>
      </c>
      <c r="D90" s="86">
        <v>666166.66666666663</v>
      </c>
      <c r="E90" s="86">
        <v>666166.66666666663</v>
      </c>
      <c r="F90" s="86">
        <v>666166.66666666663</v>
      </c>
      <c r="G90" s="86">
        <v>666166.66666666663</v>
      </c>
      <c r="H90" s="86">
        <v>666166.66666666663</v>
      </c>
      <c r="I90" s="86">
        <v>666166.66666666663</v>
      </c>
      <c r="J90" s="86">
        <v>666166.66666666663</v>
      </c>
      <c r="K90" s="86">
        <v>666166.66666666663</v>
      </c>
      <c r="L90" s="86">
        <v>666166.66666666663</v>
      </c>
      <c r="M90" s="86">
        <v>666166.66666666663</v>
      </c>
      <c r="N90" s="185">
        <f>N10*2000</f>
        <v>7994000</v>
      </c>
      <c r="O90" s="177">
        <v>5994000</v>
      </c>
      <c r="P90" s="170">
        <f t="shared" si="26"/>
        <v>2000000</v>
      </c>
      <c r="Q90" s="189">
        <f t="shared" si="24"/>
        <v>0.74981235926945211</v>
      </c>
    </row>
    <row r="91" spans="1:17">
      <c r="A91" s="129" t="s">
        <v>142</v>
      </c>
      <c r="B91" s="86">
        <f>N91/12</f>
        <v>166666.66666666666</v>
      </c>
      <c r="C91" s="86">
        <v>166666.66666666666</v>
      </c>
      <c r="D91" s="86">
        <v>166666.66666666666</v>
      </c>
      <c r="E91" s="86">
        <v>166666.66666666666</v>
      </c>
      <c r="F91" s="86">
        <v>166666.66666666666</v>
      </c>
      <c r="G91" s="86">
        <v>166666.66666666666</v>
      </c>
      <c r="H91" s="86">
        <v>166666.66666666666</v>
      </c>
      <c r="I91" s="86">
        <v>166666.66666666666</v>
      </c>
      <c r="J91" s="86">
        <v>166666.66666666666</v>
      </c>
      <c r="K91" s="86">
        <v>166666.66666666666</v>
      </c>
      <c r="L91" s="86">
        <v>166666.66666666666</v>
      </c>
      <c r="M91" s="86">
        <v>166666.66666666666</v>
      </c>
      <c r="N91" s="185">
        <v>2000000</v>
      </c>
      <c r="O91" s="160">
        <v>0</v>
      </c>
      <c r="P91" s="170">
        <f t="shared" si="26"/>
        <v>2000000</v>
      </c>
      <c r="Q91" s="189">
        <f t="shared" si="24"/>
        <v>0</v>
      </c>
    </row>
    <row r="92" spans="1:17" ht="28">
      <c r="A92" s="129" t="s">
        <v>143</v>
      </c>
      <c r="B92" s="86">
        <f t="shared" ref="B92:B93" si="27">N92/12</f>
        <v>166666.66666666666</v>
      </c>
      <c r="C92" s="86">
        <v>83333.333333333328</v>
      </c>
      <c r="D92" s="86">
        <v>83333.333333333328</v>
      </c>
      <c r="E92" s="86">
        <v>83333.333333333328</v>
      </c>
      <c r="F92" s="86">
        <v>83333.333333333328</v>
      </c>
      <c r="G92" s="86">
        <v>83333.333333333328</v>
      </c>
      <c r="H92" s="86">
        <v>83333.333333333328</v>
      </c>
      <c r="I92" s="86">
        <v>83333.333333333328</v>
      </c>
      <c r="J92" s="86">
        <v>83333.333333333328</v>
      </c>
      <c r="K92" s="86">
        <v>83333.333333333328</v>
      </c>
      <c r="L92" s="86">
        <v>83333.333333333328</v>
      </c>
      <c r="M92" s="86">
        <v>83333.333333333328</v>
      </c>
      <c r="N92" s="185">
        <v>2000000</v>
      </c>
      <c r="O92" s="176">
        <v>1000000</v>
      </c>
      <c r="P92" s="170">
        <f t="shared" si="26"/>
        <v>1000000</v>
      </c>
      <c r="Q92" s="189">
        <f t="shared" si="24"/>
        <v>0.5</v>
      </c>
    </row>
    <row r="93" spans="1:17">
      <c r="A93" s="129" t="s">
        <v>144</v>
      </c>
      <c r="B93" s="86">
        <f t="shared" si="27"/>
        <v>250000</v>
      </c>
      <c r="C93" s="86">
        <v>250000</v>
      </c>
      <c r="D93" s="86">
        <v>250000</v>
      </c>
      <c r="E93" s="86">
        <v>250000</v>
      </c>
      <c r="F93" s="86">
        <v>250000</v>
      </c>
      <c r="G93" s="86">
        <v>250000</v>
      </c>
      <c r="H93" s="86">
        <v>250000</v>
      </c>
      <c r="I93" s="86">
        <v>250000</v>
      </c>
      <c r="J93" s="86">
        <v>250000</v>
      </c>
      <c r="K93" s="86">
        <v>250000</v>
      </c>
      <c r="L93" s="86">
        <v>250000</v>
      </c>
      <c r="M93" s="86">
        <v>250000</v>
      </c>
      <c r="N93" s="185">
        <v>3000000</v>
      </c>
      <c r="O93" s="160">
        <v>0</v>
      </c>
      <c r="P93" s="170">
        <f t="shared" si="26"/>
        <v>3000000</v>
      </c>
      <c r="Q93" s="189">
        <f t="shared" si="24"/>
        <v>0</v>
      </c>
    </row>
    <row r="94" spans="1:17" ht="28.5">
      <c r="A94" s="135" t="s">
        <v>145</v>
      </c>
      <c r="B94" s="86">
        <v>1274400</v>
      </c>
      <c r="C94" s="86">
        <v>1274400</v>
      </c>
      <c r="D94" s="86">
        <v>1890528</v>
      </c>
      <c r="E94" s="86">
        <v>1890528</v>
      </c>
      <c r="F94" s="86">
        <v>1890528</v>
      </c>
      <c r="G94" s="86">
        <v>1890528</v>
      </c>
      <c r="H94" s="86">
        <v>1890528</v>
      </c>
      <c r="I94" s="86">
        <v>1890528</v>
      </c>
      <c r="J94" s="86">
        <v>1890528</v>
      </c>
      <c r="K94" s="86">
        <v>1890528</v>
      </c>
      <c r="L94" s="86">
        <v>1890528</v>
      </c>
      <c r="M94" s="86">
        <v>1890528</v>
      </c>
      <c r="N94" s="176">
        <f>SUM(B94:M94)</f>
        <v>21454080</v>
      </c>
      <c r="O94" s="177">
        <v>23739699</v>
      </c>
      <c r="P94" s="170">
        <f t="shared" si="26"/>
        <v>-2285619</v>
      </c>
      <c r="Q94" s="189">
        <f t="shared" si="24"/>
        <v>1.1065354002595311</v>
      </c>
    </row>
    <row r="95" spans="1:17">
      <c r="A95" s="136" t="s">
        <v>146</v>
      </c>
      <c r="B95" s="94">
        <f>SUM(B86:B94)</f>
        <v>3403345.8333333335</v>
      </c>
      <c r="C95" s="94">
        <f t="shared" ref="C95:P95" si="28">SUM(C86:C94)</f>
        <v>3320012.5</v>
      </c>
      <c r="D95" s="94">
        <f t="shared" si="28"/>
        <v>3936140.5</v>
      </c>
      <c r="E95" s="94">
        <f t="shared" si="28"/>
        <v>3936140.5</v>
      </c>
      <c r="F95" s="94">
        <f t="shared" si="28"/>
        <v>3936140.5</v>
      </c>
      <c r="G95" s="94">
        <f t="shared" si="28"/>
        <v>3936140.5</v>
      </c>
      <c r="H95" s="94">
        <f t="shared" si="28"/>
        <v>3936140.5</v>
      </c>
      <c r="I95" s="94">
        <f t="shared" si="28"/>
        <v>3936140.5</v>
      </c>
      <c r="J95" s="94">
        <f t="shared" si="28"/>
        <v>3936140.5</v>
      </c>
      <c r="K95" s="94">
        <f t="shared" si="28"/>
        <v>3936140.5</v>
      </c>
      <c r="L95" s="94">
        <f t="shared" si="28"/>
        <v>3936140.5</v>
      </c>
      <c r="M95" s="94">
        <f t="shared" si="28"/>
        <v>3936140.5</v>
      </c>
      <c r="N95" s="27">
        <f t="shared" si="28"/>
        <v>49174780</v>
      </c>
      <c r="O95" s="27">
        <f t="shared" si="28"/>
        <v>42470449</v>
      </c>
      <c r="P95" s="27">
        <f t="shared" si="28"/>
        <v>6704331</v>
      </c>
      <c r="Q95" s="192">
        <f t="shared" si="24"/>
        <v>0.86366322330267675</v>
      </c>
    </row>
    <row r="96" spans="1:17">
      <c r="A96" s="137" t="s">
        <v>147</v>
      </c>
      <c r="B96" s="86"/>
      <c r="C96" s="86"/>
      <c r="D96" s="86"/>
      <c r="E96" s="86"/>
      <c r="F96" s="86"/>
      <c r="G96" s="86"/>
      <c r="H96" s="86"/>
      <c r="I96" s="86"/>
      <c r="J96" s="86"/>
      <c r="K96" s="86"/>
      <c r="L96" s="86"/>
      <c r="M96" s="86"/>
      <c r="N96" s="169"/>
      <c r="O96" s="160"/>
      <c r="P96" s="160"/>
      <c r="Q96" s="160"/>
    </row>
    <row r="97" spans="1:18">
      <c r="A97" s="132" t="s">
        <v>148</v>
      </c>
      <c r="B97" s="86">
        <f>N97/12</f>
        <v>6131602.833333333</v>
      </c>
      <c r="C97" s="86">
        <v>6131602.833333333</v>
      </c>
      <c r="D97" s="86">
        <v>6131602.833333333</v>
      </c>
      <c r="E97" s="86">
        <v>6131602.833333333</v>
      </c>
      <c r="F97" s="86">
        <v>6131602.833333333</v>
      </c>
      <c r="G97" s="86">
        <v>6131602.833333333</v>
      </c>
      <c r="H97" s="86">
        <v>6131602.833333333</v>
      </c>
      <c r="I97" s="86">
        <v>6131602.833333333</v>
      </c>
      <c r="J97" s="86">
        <v>6131602.833333333</v>
      </c>
      <c r="K97" s="86">
        <v>6131602.833333333</v>
      </c>
      <c r="L97" s="86">
        <v>6131602.833333333</v>
      </c>
      <c r="M97" s="86">
        <v>6131602.833333333</v>
      </c>
      <c r="N97" s="185">
        <v>73579234</v>
      </c>
      <c r="O97" s="176">
        <v>73579234</v>
      </c>
      <c r="P97" s="160">
        <f t="shared" ref="P97:P101" si="29">N97-O97</f>
        <v>0</v>
      </c>
      <c r="Q97" s="189">
        <f t="shared" ref="Q97:Q98" si="30">O97/N97</f>
        <v>1</v>
      </c>
    </row>
    <row r="98" spans="1:18">
      <c r="A98" s="132" t="s">
        <v>191</v>
      </c>
      <c r="B98" s="86">
        <f>N98/12</f>
        <v>6663195</v>
      </c>
      <c r="C98" s="86">
        <v>6663195</v>
      </c>
      <c r="D98" s="86">
        <v>6663195</v>
      </c>
      <c r="E98" s="86">
        <v>6663195</v>
      </c>
      <c r="F98" s="86">
        <v>6663195</v>
      </c>
      <c r="G98" s="86">
        <v>6663195</v>
      </c>
      <c r="H98" s="86">
        <v>6663195</v>
      </c>
      <c r="I98" s="86">
        <v>6663195</v>
      </c>
      <c r="J98" s="86">
        <v>6663195</v>
      </c>
      <c r="K98" s="86">
        <v>6663195</v>
      </c>
      <c r="L98" s="86">
        <v>6663195</v>
      </c>
      <c r="M98" s="86">
        <v>6663195</v>
      </c>
      <c r="N98" s="185">
        <v>79958340</v>
      </c>
      <c r="O98" s="177">
        <f>O99-O97</f>
        <v>87057743</v>
      </c>
      <c r="P98" s="176">
        <f t="shared" si="29"/>
        <v>-7099403</v>
      </c>
      <c r="Q98" s="189">
        <f t="shared" si="30"/>
        <v>1.0887887742541928</v>
      </c>
    </row>
    <row r="99" spans="1:18">
      <c r="A99" s="138" t="s">
        <v>149</v>
      </c>
      <c r="B99" s="93">
        <f>B97+B98</f>
        <v>12794797.833333332</v>
      </c>
      <c r="C99" s="93">
        <f t="shared" ref="C99:N99" si="31">C97+C98</f>
        <v>12794797.833333332</v>
      </c>
      <c r="D99" s="93">
        <f t="shared" si="31"/>
        <v>12794797.833333332</v>
      </c>
      <c r="E99" s="93">
        <f t="shared" si="31"/>
        <v>12794797.833333332</v>
      </c>
      <c r="F99" s="93">
        <f t="shared" si="31"/>
        <v>12794797.833333332</v>
      </c>
      <c r="G99" s="93">
        <f t="shared" si="31"/>
        <v>12794797.833333332</v>
      </c>
      <c r="H99" s="93">
        <f t="shared" si="31"/>
        <v>12794797.833333332</v>
      </c>
      <c r="I99" s="93">
        <f t="shared" si="31"/>
        <v>12794797.833333332</v>
      </c>
      <c r="J99" s="93">
        <f t="shared" si="31"/>
        <v>12794797.833333332</v>
      </c>
      <c r="K99" s="93">
        <f t="shared" si="31"/>
        <v>12794797.833333332</v>
      </c>
      <c r="L99" s="93">
        <f t="shared" si="31"/>
        <v>12794797.833333332</v>
      </c>
      <c r="M99" s="93">
        <f t="shared" si="31"/>
        <v>12794797.833333332</v>
      </c>
      <c r="N99" s="173">
        <f t="shared" si="31"/>
        <v>153537574</v>
      </c>
      <c r="O99" s="173">
        <v>160636977</v>
      </c>
      <c r="P99" s="12">
        <f t="shared" si="29"/>
        <v>-7099403</v>
      </c>
      <c r="Q99" s="166">
        <f>O99/N99</f>
        <v>1.0462388639799662</v>
      </c>
    </row>
    <row r="100" spans="1:18">
      <c r="A100" s="178" t="s">
        <v>150</v>
      </c>
      <c r="B100" s="179">
        <f t="shared" ref="B100:O100" si="32">B99+B95+B84+B75+B47</f>
        <v>112658732.83820051</v>
      </c>
      <c r="C100" s="179">
        <f t="shared" si="32"/>
        <v>112575399.50486718</v>
      </c>
      <c r="D100" s="179">
        <f t="shared" si="32"/>
        <v>113191527.50486718</v>
      </c>
      <c r="E100" s="179">
        <f t="shared" si="32"/>
        <v>113191527.50486715</v>
      </c>
      <c r="F100" s="179">
        <f t="shared" si="32"/>
        <v>113191527.50486715</v>
      </c>
      <c r="G100" s="179">
        <f t="shared" si="32"/>
        <v>113191527.50486715</v>
      </c>
      <c r="H100" s="179">
        <f t="shared" si="32"/>
        <v>113191527.50486715</v>
      </c>
      <c r="I100" s="179">
        <f t="shared" si="32"/>
        <v>113191527.50486715</v>
      </c>
      <c r="J100" s="179">
        <f t="shared" si="32"/>
        <v>113191527.50486715</v>
      </c>
      <c r="K100" s="179">
        <f t="shared" si="32"/>
        <v>119716611.32358144</v>
      </c>
      <c r="L100" s="179">
        <f t="shared" si="32"/>
        <v>119716611.32358144</v>
      </c>
      <c r="M100" s="179">
        <f t="shared" si="32"/>
        <v>119716611.32358144</v>
      </c>
      <c r="N100" s="180">
        <f t="shared" si="32"/>
        <v>1395606475.5145488</v>
      </c>
      <c r="O100" s="180">
        <f t="shared" si="32"/>
        <v>1254636002.8</v>
      </c>
      <c r="P100" s="181">
        <f t="shared" si="29"/>
        <v>140970472.71454883</v>
      </c>
      <c r="Q100" s="190">
        <f>O100/N100</f>
        <v>0.89898981182172133</v>
      </c>
    </row>
    <row r="101" spans="1:18">
      <c r="A101" s="140" t="s">
        <v>151</v>
      </c>
      <c r="B101" s="104">
        <f t="shared" ref="B101:O101" si="33">B39-B100</f>
        <v>32145748.272910595</v>
      </c>
      <c r="C101" s="104">
        <f t="shared" si="33"/>
        <v>47349164.939577237</v>
      </c>
      <c r="D101" s="104">
        <f t="shared" si="33"/>
        <v>46733036.939577237</v>
      </c>
      <c r="E101" s="104">
        <f t="shared" si="33"/>
        <v>46733036.939577267</v>
      </c>
      <c r="F101" s="104">
        <f t="shared" si="33"/>
        <v>65240999.161799476</v>
      </c>
      <c r="G101" s="104">
        <f t="shared" si="33"/>
        <v>65240999.161799476</v>
      </c>
      <c r="H101" s="104">
        <f t="shared" si="33"/>
        <v>65240999.161799476</v>
      </c>
      <c r="I101" s="104">
        <f t="shared" si="33"/>
        <v>65240999.161799476</v>
      </c>
      <c r="J101" s="104">
        <f t="shared" si="33"/>
        <v>78240999.161799476</v>
      </c>
      <c r="K101" s="104">
        <f t="shared" si="33"/>
        <v>83340915.343085185</v>
      </c>
      <c r="L101" s="104">
        <f t="shared" si="33"/>
        <v>83340915.343085185</v>
      </c>
      <c r="M101" s="104">
        <f t="shared" si="33"/>
        <v>83340915.343085185</v>
      </c>
      <c r="N101" s="174">
        <f t="shared" si="33"/>
        <v>582993957.81878448</v>
      </c>
      <c r="O101" s="174">
        <f t="shared" si="33"/>
        <v>105923730.03967357</v>
      </c>
      <c r="P101" s="24">
        <f t="shared" si="29"/>
        <v>477070227.77911091</v>
      </c>
      <c r="Q101" s="191">
        <f>O101/N101</f>
        <v>0.1816892415763226</v>
      </c>
    </row>
    <row r="102" spans="1:18">
      <c r="A102" s="128" t="s">
        <v>152</v>
      </c>
      <c r="B102" s="86"/>
      <c r="C102" s="86"/>
      <c r="D102" s="86"/>
      <c r="E102" s="86"/>
      <c r="F102" s="86"/>
      <c r="G102" s="86"/>
      <c r="H102" s="86"/>
      <c r="I102" s="86"/>
      <c r="J102" s="86"/>
      <c r="K102" s="86"/>
      <c r="L102" s="86"/>
      <c r="M102" s="86"/>
      <c r="N102" s="169"/>
      <c r="O102" s="160"/>
      <c r="P102" s="160"/>
      <c r="Q102" s="160"/>
    </row>
    <row r="103" spans="1:18">
      <c r="A103" s="128" t="s">
        <v>153</v>
      </c>
      <c r="B103" s="86"/>
      <c r="C103" s="86"/>
      <c r="D103" s="86"/>
      <c r="E103" s="86"/>
      <c r="F103" s="86"/>
      <c r="G103" s="86"/>
      <c r="H103" s="86"/>
      <c r="I103" s="86"/>
      <c r="J103" s="86"/>
      <c r="K103" s="86"/>
      <c r="L103" s="86"/>
      <c r="M103" s="86"/>
      <c r="N103" s="169"/>
      <c r="O103" s="160"/>
      <c r="P103" s="160"/>
      <c r="Q103" s="160"/>
    </row>
    <row r="104" spans="1:18">
      <c r="A104" s="132" t="s">
        <v>322</v>
      </c>
      <c r="B104" s="86">
        <f>N104/12</f>
        <v>833333.33333333337</v>
      </c>
      <c r="C104" s="86">
        <v>833333.33333333337</v>
      </c>
      <c r="D104" s="86">
        <v>833333.33333333337</v>
      </c>
      <c r="E104" s="86">
        <v>833333.33333333337</v>
      </c>
      <c r="F104" s="86">
        <v>833333.33333333337</v>
      </c>
      <c r="G104" s="86">
        <v>833333.33333333337</v>
      </c>
      <c r="H104" s="86">
        <v>833333.33333333337</v>
      </c>
      <c r="I104" s="86">
        <v>833333.33333333337</v>
      </c>
      <c r="J104" s="86">
        <v>833333.33333333337</v>
      </c>
      <c r="K104" s="86">
        <v>833333.33333333337</v>
      </c>
      <c r="L104" s="86">
        <v>833333.33333333337</v>
      </c>
      <c r="M104" s="86">
        <v>833333.33333333337</v>
      </c>
      <c r="N104" s="185">
        <v>10000000</v>
      </c>
      <c r="O104" s="176">
        <v>20277500</v>
      </c>
      <c r="P104" s="176">
        <f t="shared" ref="P104:P126" si="34">N104-O104</f>
        <v>-10277500</v>
      </c>
      <c r="Q104" s="221">
        <f>O104/N104</f>
        <v>2.0277500000000002</v>
      </c>
    </row>
    <row r="105" spans="1:18" ht="28">
      <c r="A105" s="129" t="s">
        <v>155</v>
      </c>
      <c r="B105" s="86">
        <f t="shared" ref="B105:B108" si="35">N105/12</f>
        <v>1666666.6666666667</v>
      </c>
      <c r="C105" s="86">
        <v>1666666.6666666667</v>
      </c>
      <c r="D105" s="86">
        <v>1666666.6666666667</v>
      </c>
      <c r="E105" s="86">
        <v>1666666.6666666667</v>
      </c>
      <c r="F105" s="86">
        <v>1666666.6666666667</v>
      </c>
      <c r="G105" s="86">
        <v>1666666.6666666667</v>
      </c>
      <c r="H105" s="86">
        <v>1666666.6666666667</v>
      </c>
      <c r="I105" s="86">
        <v>1666666.6666666667</v>
      </c>
      <c r="J105" s="86">
        <v>1666666.6666666667</v>
      </c>
      <c r="K105" s="86">
        <v>1666666.6666666667</v>
      </c>
      <c r="L105" s="86">
        <v>1666666.6666666667</v>
      </c>
      <c r="M105" s="86">
        <v>1666666.6666666667</v>
      </c>
      <c r="N105" s="185">
        <v>20000000</v>
      </c>
      <c r="O105" s="176">
        <v>14597845</v>
      </c>
      <c r="P105" s="176">
        <f t="shared" si="34"/>
        <v>5402155</v>
      </c>
      <c r="Q105" s="221">
        <f t="shared" ref="Q105:Q125" si="36">O105/N105</f>
        <v>0.72989225000000002</v>
      </c>
    </row>
    <row r="106" spans="1:18" ht="28">
      <c r="A106" s="129" t="s">
        <v>296</v>
      </c>
      <c r="B106" s="86">
        <v>33719660.75</v>
      </c>
      <c r="C106" s="86">
        <v>33719660.75</v>
      </c>
      <c r="D106" s="86">
        <v>33719660.75</v>
      </c>
      <c r="E106" s="86">
        <v>33719660.75</v>
      </c>
      <c r="F106" s="86"/>
      <c r="G106" s="86"/>
      <c r="H106" s="86"/>
      <c r="I106" s="86"/>
      <c r="J106" s="86"/>
      <c r="K106" s="86"/>
      <c r="L106" s="86"/>
      <c r="M106" s="86"/>
      <c r="N106" s="185">
        <f>SUM(B106:M106)</f>
        <v>134878643</v>
      </c>
      <c r="O106" s="177">
        <v>34878643</v>
      </c>
      <c r="P106" s="176">
        <f t="shared" si="34"/>
        <v>100000000</v>
      </c>
      <c r="Q106" s="221">
        <f t="shared" si="36"/>
        <v>0.25859277810201575</v>
      </c>
    </row>
    <row r="107" spans="1:18">
      <c r="A107" s="129" t="s">
        <v>156</v>
      </c>
      <c r="B107" s="86">
        <f t="shared" si="35"/>
        <v>4166666.6666666665</v>
      </c>
      <c r="C107" s="86">
        <v>4166666.6666666665</v>
      </c>
      <c r="D107" s="86">
        <v>4166666.6666666665</v>
      </c>
      <c r="E107" s="86">
        <v>4166666.6666666665</v>
      </c>
      <c r="F107" s="86">
        <v>4166666.6666666665</v>
      </c>
      <c r="G107" s="86">
        <v>4166666.6666666665</v>
      </c>
      <c r="H107" s="86">
        <v>4166666.6666666665</v>
      </c>
      <c r="I107" s="86">
        <v>4166666.6666666665</v>
      </c>
      <c r="J107" s="86">
        <v>4166666.6666666665</v>
      </c>
      <c r="K107" s="86">
        <v>4166666.6666666665</v>
      </c>
      <c r="L107" s="86">
        <v>4166666.6666666665</v>
      </c>
      <c r="M107" s="86">
        <v>4166666.6666666665</v>
      </c>
      <c r="N107" s="185">
        <v>50000000</v>
      </c>
      <c r="O107" s="176">
        <v>15000000</v>
      </c>
      <c r="P107" s="176">
        <f t="shared" si="34"/>
        <v>35000000</v>
      </c>
      <c r="Q107" s="221">
        <f t="shared" si="36"/>
        <v>0.3</v>
      </c>
    </row>
    <row r="108" spans="1:18">
      <c r="A108" s="141" t="s">
        <v>157</v>
      </c>
      <c r="B108" s="86">
        <f t="shared" si="35"/>
        <v>9805883.1388888881</v>
      </c>
      <c r="C108" s="86">
        <v>9805883.1388888881</v>
      </c>
      <c r="D108" s="86">
        <v>9805883.1388888881</v>
      </c>
      <c r="E108" s="86">
        <v>9805883.1388888881</v>
      </c>
      <c r="F108" s="86">
        <v>9805883.1388888881</v>
      </c>
      <c r="G108" s="86">
        <v>9805883.1388888881</v>
      </c>
      <c r="H108" s="86">
        <v>9805883.1388888881</v>
      </c>
      <c r="I108" s="86">
        <v>9805883.1388888881</v>
      </c>
      <c r="J108" s="86">
        <v>9805883.1388888881</v>
      </c>
      <c r="K108" s="86">
        <v>9805883.1388888881</v>
      </c>
      <c r="L108" s="86">
        <v>9805883.1388888881</v>
      </c>
      <c r="M108" s="86">
        <v>9805883.1388888881</v>
      </c>
      <c r="N108" s="176">
        <f>N24*20%+40091131</f>
        <v>117670597.66666666</v>
      </c>
      <c r="O108" s="177">
        <v>44228645</v>
      </c>
      <c r="P108" s="176">
        <f t="shared" si="34"/>
        <v>73441952.666666657</v>
      </c>
      <c r="Q108" s="221">
        <f t="shared" si="36"/>
        <v>0.37586827871215062</v>
      </c>
    </row>
    <row r="109" spans="1:18">
      <c r="A109" s="135" t="s">
        <v>158</v>
      </c>
      <c r="B109" s="86"/>
      <c r="C109" s="86"/>
      <c r="D109" s="86"/>
      <c r="E109" s="86"/>
      <c r="F109" s="86"/>
      <c r="G109" s="86"/>
      <c r="H109" s="86"/>
      <c r="I109" s="86"/>
      <c r="J109" s="86">
        <f>N109</f>
        <v>2600000</v>
      </c>
      <c r="K109" s="86"/>
      <c r="L109" s="86"/>
      <c r="M109" s="86"/>
      <c r="N109" s="185">
        <f>260*10000</f>
        <v>2600000</v>
      </c>
      <c r="O109" s="177">
        <f>N109</f>
        <v>2600000</v>
      </c>
      <c r="P109" s="176">
        <f t="shared" si="34"/>
        <v>0</v>
      </c>
      <c r="Q109" s="221">
        <f t="shared" si="36"/>
        <v>1</v>
      </c>
    </row>
    <row r="110" spans="1:18" s="1" customFormat="1">
      <c r="A110" s="142" t="s">
        <v>159</v>
      </c>
      <c r="B110" s="94">
        <f t="shared" ref="B110:P110" si="37">SUM(B104:B109)</f>
        <v>50192210.555555552</v>
      </c>
      <c r="C110" s="94">
        <f t="shared" si="37"/>
        <v>50192210.555555552</v>
      </c>
      <c r="D110" s="94">
        <f t="shared" si="37"/>
        <v>50192210.555555552</v>
      </c>
      <c r="E110" s="94">
        <f t="shared" si="37"/>
        <v>50192210.555555552</v>
      </c>
      <c r="F110" s="94">
        <f t="shared" si="37"/>
        <v>16472549.805555554</v>
      </c>
      <c r="G110" s="94">
        <f t="shared" si="37"/>
        <v>16472549.805555554</v>
      </c>
      <c r="H110" s="94">
        <f t="shared" si="37"/>
        <v>16472549.805555554</v>
      </c>
      <c r="I110" s="94">
        <f t="shared" si="37"/>
        <v>16472549.805555554</v>
      </c>
      <c r="J110" s="94">
        <f t="shared" si="37"/>
        <v>19072549.805555552</v>
      </c>
      <c r="K110" s="94">
        <f t="shared" si="37"/>
        <v>16472549.805555554</v>
      </c>
      <c r="L110" s="94">
        <f t="shared" si="37"/>
        <v>16472549.805555554</v>
      </c>
      <c r="M110" s="94">
        <f t="shared" si="37"/>
        <v>16472549.805555554</v>
      </c>
      <c r="N110" s="27">
        <f t="shared" si="37"/>
        <v>335149240.66666663</v>
      </c>
      <c r="O110" s="27">
        <f t="shared" si="37"/>
        <v>131582633</v>
      </c>
      <c r="P110" s="27">
        <f t="shared" si="37"/>
        <v>203566607.66666666</v>
      </c>
      <c r="Q110" s="192">
        <f>O110/N110</f>
        <v>0.39260907391065736</v>
      </c>
    </row>
    <row r="111" spans="1:18">
      <c r="A111" s="143" t="s">
        <v>160</v>
      </c>
      <c r="N111" s="169"/>
      <c r="O111" s="160"/>
      <c r="P111" s="160"/>
      <c r="Q111" s="160"/>
    </row>
    <row r="112" spans="1:18">
      <c r="A112" s="144" t="s">
        <v>327</v>
      </c>
      <c r="B112" s="86"/>
      <c r="C112" s="86"/>
      <c r="D112" s="86"/>
      <c r="E112" s="86"/>
      <c r="F112" s="86"/>
      <c r="G112" s="86"/>
      <c r="H112" s="86"/>
      <c r="I112" s="86"/>
      <c r="J112" s="86"/>
      <c r="K112" s="86"/>
      <c r="L112" s="86"/>
      <c r="M112" s="86"/>
      <c r="N112" s="176"/>
      <c r="O112" s="176">
        <v>-347730147</v>
      </c>
      <c r="P112" s="160"/>
      <c r="Q112" s="160"/>
      <c r="R112" s="68"/>
    </row>
    <row r="113" spans="1:17">
      <c r="A113" s="144" t="s">
        <v>162</v>
      </c>
      <c r="B113" s="86"/>
      <c r="C113" s="86"/>
      <c r="D113" s="86"/>
      <c r="E113" s="86"/>
      <c r="F113" s="86"/>
      <c r="G113" s="86"/>
      <c r="H113" s="86"/>
      <c r="I113" s="86"/>
      <c r="J113" s="86"/>
      <c r="K113" s="86"/>
      <c r="L113" s="86"/>
      <c r="M113" s="86"/>
      <c r="N113" s="176"/>
      <c r="O113" s="160"/>
      <c r="P113" s="160"/>
      <c r="Q113" s="160"/>
    </row>
    <row r="114" spans="1:17">
      <c r="A114" s="144" t="s">
        <v>163</v>
      </c>
      <c r="B114" s="86">
        <f>N114/12</f>
        <v>4903054.916666667</v>
      </c>
      <c r="C114" s="86">
        <v>4903054.916666667</v>
      </c>
      <c r="D114" s="86">
        <v>4903054.916666667</v>
      </c>
      <c r="E114" s="86">
        <v>4903054.916666667</v>
      </c>
      <c r="F114" s="86">
        <v>4903054.916666667</v>
      </c>
      <c r="G114" s="86">
        <v>4903054.916666667</v>
      </c>
      <c r="H114" s="86">
        <v>4903054.916666667</v>
      </c>
      <c r="I114" s="86">
        <v>4903054.916666667</v>
      </c>
      <c r="J114" s="86">
        <v>4903054.916666667</v>
      </c>
      <c r="K114" s="86">
        <v>4903054.916666667</v>
      </c>
      <c r="L114" s="86">
        <v>4903054.916666667</v>
      </c>
      <c r="M114" s="86">
        <v>4903054.916666667</v>
      </c>
      <c r="N114" s="185">
        <v>58836659</v>
      </c>
      <c r="O114" s="177">
        <f>N114</f>
        <v>58836659</v>
      </c>
      <c r="P114" s="160">
        <f t="shared" si="34"/>
        <v>0</v>
      </c>
      <c r="Q114" s="221">
        <f t="shared" si="36"/>
        <v>1</v>
      </c>
    </row>
    <row r="115" spans="1:17">
      <c r="A115" s="144" t="s">
        <v>192</v>
      </c>
      <c r="B115" s="86">
        <f>N115/12</f>
        <v>5565350</v>
      </c>
      <c r="C115" s="86">
        <v>5565350</v>
      </c>
      <c r="D115" s="86">
        <v>5565350</v>
      </c>
      <c r="E115" s="86">
        <v>5565350</v>
      </c>
      <c r="F115" s="86">
        <v>5565350</v>
      </c>
      <c r="G115" s="86">
        <v>5565350</v>
      </c>
      <c r="H115" s="86">
        <v>5565350</v>
      </c>
      <c r="I115" s="86">
        <v>5565350</v>
      </c>
      <c r="J115" s="86">
        <v>5565350</v>
      </c>
      <c r="K115" s="86">
        <v>5565350</v>
      </c>
      <c r="L115" s="86">
        <v>5565350</v>
      </c>
      <c r="M115" s="86">
        <v>5565350</v>
      </c>
      <c r="N115" s="185">
        <v>66784200</v>
      </c>
      <c r="O115" s="177">
        <f>N115*110%</f>
        <v>73462620</v>
      </c>
      <c r="P115" s="160">
        <f t="shared" si="34"/>
        <v>-6678420</v>
      </c>
      <c r="Q115" s="221">
        <f t="shared" si="36"/>
        <v>1.1000000000000001</v>
      </c>
    </row>
    <row r="116" spans="1:17">
      <c r="A116" s="144" t="s">
        <v>193</v>
      </c>
      <c r="B116" s="86">
        <v>6193555</v>
      </c>
      <c r="C116" s="86">
        <v>6193555</v>
      </c>
      <c r="D116" s="86">
        <v>6193555</v>
      </c>
      <c r="E116" s="86">
        <v>6193555</v>
      </c>
      <c r="F116" s="86">
        <v>6193555</v>
      </c>
      <c r="G116" s="86">
        <v>6193555</v>
      </c>
      <c r="H116" s="86">
        <v>6193555</v>
      </c>
      <c r="I116" s="86">
        <v>6193555</v>
      </c>
      <c r="J116" s="86">
        <v>6193555</v>
      </c>
      <c r="K116" s="86">
        <v>6193555</v>
      </c>
      <c r="L116" s="86">
        <v>6193555</v>
      </c>
      <c r="M116" s="86">
        <v>0</v>
      </c>
      <c r="N116" s="185">
        <f>SUM(B116:M116)</f>
        <v>68129105</v>
      </c>
      <c r="O116" s="177">
        <f>N116</f>
        <v>68129105</v>
      </c>
      <c r="P116" s="160">
        <f t="shared" si="34"/>
        <v>0</v>
      </c>
      <c r="Q116" s="221">
        <f t="shared" si="36"/>
        <v>1</v>
      </c>
    </row>
    <row r="117" spans="1:17">
      <c r="A117" s="145" t="s">
        <v>164</v>
      </c>
      <c r="B117" s="85">
        <f>B112+B113+B114+B115+B116</f>
        <v>16661959.916666668</v>
      </c>
      <c r="C117" s="85">
        <f t="shared" ref="C117:M117" si="38">C112+C113+C114+C115+C116</f>
        <v>16661959.916666668</v>
      </c>
      <c r="D117" s="85">
        <f t="shared" si="38"/>
        <v>16661959.916666668</v>
      </c>
      <c r="E117" s="85">
        <f t="shared" si="38"/>
        <v>16661959.916666668</v>
      </c>
      <c r="F117" s="85">
        <f t="shared" si="38"/>
        <v>16661959.916666668</v>
      </c>
      <c r="G117" s="85">
        <f t="shared" si="38"/>
        <v>16661959.916666668</v>
      </c>
      <c r="H117" s="85">
        <f t="shared" si="38"/>
        <v>16661959.916666668</v>
      </c>
      <c r="I117" s="85">
        <f t="shared" si="38"/>
        <v>16661959.916666668</v>
      </c>
      <c r="J117" s="85">
        <f t="shared" si="38"/>
        <v>16661959.916666668</v>
      </c>
      <c r="K117" s="85">
        <f t="shared" si="38"/>
        <v>16661959.916666668</v>
      </c>
      <c r="L117" s="85">
        <f t="shared" si="38"/>
        <v>16661959.916666668</v>
      </c>
      <c r="M117" s="85">
        <f t="shared" si="38"/>
        <v>10468404.916666668</v>
      </c>
      <c r="N117" s="188">
        <f>N112+N113+N114+N115+N116</f>
        <v>193749964</v>
      </c>
      <c r="O117" s="188">
        <f>O112+O113+O114+O115+O116</f>
        <v>-147301763</v>
      </c>
      <c r="P117" s="188">
        <f t="shared" ref="P117" si="39">P112+P113+P114+P115+P116</f>
        <v>-6678420</v>
      </c>
      <c r="Q117" s="193">
        <f t="shared" si="36"/>
        <v>-0.76026730513353802</v>
      </c>
    </row>
    <row r="118" spans="1:17">
      <c r="A118" s="143" t="s">
        <v>165</v>
      </c>
      <c r="B118" s="88"/>
      <c r="C118" s="88"/>
      <c r="D118" s="88"/>
      <c r="E118" s="88"/>
      <c r="F118" s="88"/>
      <c r="G118" s="88"/>
      <c r="H118" s="88"/>
      <c r="I118" s="88"/>
      <c r="J118" s="88"/>
      <c r="K118" s="88"/>
      <c r="L118" s="88"/>
      <c r="M118" s="88"/>
      <c r="N118" s="187"/>
      <c r="O118" s="160"/>
      <c r="P118" s="160"/>
      <c r="Q118" s="160"/>
    </row>
    <row r="119" spans="1:17" ht="28">
      <c r="A119" s="144" t="s">
        <v>270</v>
      </c>
      <c r="B119" s="86">
        <v>4659956</v>
      </c>
      <c r="C119" s="86">
        <v>4659956</v>
      </c>
      <c r="D119" s="86">
        <v>4659956</v>
      </c>
      <c r="E119" s="86">
        <v>4659956</v>
      </c>
      <c r="F119" s="86">
        <v>4659956</v>
      </c>
      <c r="G119" s="86">
        <v>4659956</v>
      </c>
      <c r="H119" s="86">
        <v>4659956</v>
      </c>
      <c r="I119" s="86">
        <v>4659956</v>
      </c>
      <c r="J119" s="86">
        <v>4659956</v>
      </c>
      <c r="K119" s="86">
        <v>4659956</v>
      </c>
      <c r="L119" s="86">
        <v>4659956</v>
      </c>
      <c r="M119" s="86">
        <v>4659956</v>
      </c>
      <c r="N119" s="185">
        <f>SUM(B119:M119)</f>
        <v>55919472</v>
      </c>
      <c r="O119" s="177">
        <v>30919472</v>
      </c>
      <c r="P119" s="176">
        <f t="shared" si="34"/>
        <v>25000000</v>
      </c>
      <c r="Q119" s="221">
        <f t="shared" si="36"/>
        <v>0.55292853981167778</v>
      </c>
    </row>
    <row r="120" spans="1:17">
      <c r="A120" s="146" t="s">
        <v>166</v>
      </c>
      <c r="B120" s="222">
        <f>N120/12</f>
        <v>3333333.3333333335</v>
      </c>
      <c r="C120" s="222">
        <v>3333333.3333333335</v>
      </c>
      <c r="D120" s="222">
        <v>3333333.3333333335</v>
      </c>
      <c r="E120" s="222">
        <v>3333333.3333333335</v>
      </c>
      <c r="F120" s="222">
        <v>3333333.3333333335</v>
      </c>
      <c r="G120" s="222">
        <v>3333333.3333333335</v>
      </c>
      <c r="H120" s="222">
        <v>3333333.3333333335</v>
      </c>
      <c r="I120" s="222">
        <v>3333333.3333333335</v>
      </c>
      <c r="J120" s="222">
        <v>3333333.3333333335</v>
      </c>
      <c r="K120" s="222">
        <v>3333333.3333333335</v>
      </c>
      <c r="L120" s="222">
        <v>3333333.3333333335</v>
      </c>
      <c r="M120" s="222">
        <v>3333333.3333333335</v>
      </c>
      <c r="N120" s="185">
        <v>40000000</v>
      </c>
      <c r="O120" s="176">
        <v>16000000</v>
      </c>
      <c r="P120" s="176">
        <f t="shared" si="34"/>
        <v>24000000</v>
      </c>
      <c r="Q120" s="221">
        <f t="shared" si="36"/>
        <v>0.4</v>
      </c>
    </row>
    <row r="121" spans="1:17">
      <c r="A121" s="146" t="s">
        <v>167</v>
      </c>
      <c r="B121" s="222">
        <f t="shared" ref="B121:B124" si="40">N121/12</f>
        <v>803358</v>
      </c>
      <c r="C121" s="222">
        <v>803358</v>
      </c>
      <c r="D121" s="222">
        <v>803358</v>
      </c>
      <c r="E121" s="222">
        <v>803358</v>
      </c>
      <c r="F121" s="222">
        <v>803358</v>
      </c>
      <c r="G121" s="222">
        <v>803358</v>
      </c>
      <c r="H121" s="222">
        <v>803358</v>
      </c>
      <c r="I121" s="222">
        <v>803358</v>
      </c>
      <c r="J121" s="222">
        <v>803358</v>
      </c>
      <c r="K121" s="222">
        <v>803358</v>
      </c>
      <c r="L121" s="222">
        <v>803358</v>
      </c>
      <c r="M121" s="222">
        <v>803358</v>
      </c>
      <c r="N121" s="185">
        <v>9640296</v>
      </c>
      <c r="O121" s="160">
        <v>0</v>
      </c>
      <c r="P121" s="176">
        <f t="shared" si="34"/>
        <v>9640296</v>
      </c>
      <c r="Q121" s="221">
        <f t="shared" si="36"/>
        <v>0</v>
      </c>
    </row>
    <row r="122" spans="1:17">
      <c r="A122" s="146" t="s">
        <v>168</v>
      </c>
      <c r="B122" s="222">
        <f t="shared" si="40"/>
        <v>4166666.6666666665</v>
      </c>
      <c r="C122" s="222">
        <v>4166666.6666666665</v>
      </c>
      <c r="D122" s="222">
        <v>4166666.6666666665</v>
      </c>
      <c r="E122" s="222">
        <v>4166666.6666666665</v>
      </c>
      <c r="F122" s="222">
        <v>4166666.6666666665</v>
      </c>
      <c r="G122" s="222">
        <v>4166666.6666666665</v>
      </c>
      <c r="H122" s="222">
        <v>4166666.6666666665</v>
      </c>
      <c r="I122" s="222">
        <v>4166666.6666666665</v>
      </c>
      <c r="J122" s="222">
        <v>4166666.6666666665</v>
      </c>
      <c r="K122" s="222">
        <v>4166666.6666666665</v>
      </c>
      <c r="L122" s="222">
        <v>4166666.6666666665</v>
      </c>
      <c r="M122" s="222">
        <v>4166666.6666666665</v>
      </c>
      <c r="N122" s="185">
        <v>50000000</v>
      </c>
      <c r="O122" s="177">
        <v>30000000</v>
      </c>
      <c r="P122" s="176">
        <f t="shared" si="34"/>
        <v>20000000</v>
      </c>
      <c r="Q122" s="221">
        <f t="shared" si="36"/>
        <v>0.6</v>
      </c>
    </row>
    <row r="123" spans="1:17">
      <c r="A123" s="147" t="s">
        <v>169</v>
      </c>
      <c r="B123" s="222">
        <f t="shared" si="40"/>
        <v>1763603.5770833327</v>
      </c>
      <c r="C123" s="222">
        <v>1763603.5770833327</v>
      </c>
      <c r="D123" s="222">
        <v>1763603.5770833327</v>
      </c>
      <c r="E123" s="222">
        <v>1763603.5770833327</v>
      </c>
      <c r="F123" s="222">
        <v>1763603.5770833327</v>
      </c>
      <c r="G123" s="222">
        <v>1763603.5770833327</v>
      </c>
      <c r="H123" s="222">
        <v>1763603.5770833327</v>
      </c>
      <c r="I123" s="222">
        <v>1763603.5770833327</v>
      </c>
      <c r="J123" s="222">
        <v>1763603.5770833327</v>
      </c>
      <c r="K123" s="222">
        <v>1763603.5770833327</v>
      </c>
      <c r="L123" s="222">
        <v>1763603.5770833327</v>
      </c>
      <c r="M123" s="222">
        <v>1763603.5770833327</v>
      </c>
      <c r="N123" s="185">
        <v>21163242.924999993</v>
      </c>
      <c r="O123" s="160">
        <v>0</v>
      </c>
      <c r="P123" s="176">
        <f t="shared" si="34"/>
        <v>21163242.924999993</v>
      </c>
      <c r="Q123" s="221">
        <f t="shared" si="36"/>
        <v>0</v>
      </c>
    </row>
    <row r="124" spans="1:17">
      <c r="A124" s="147" t="s">
        <v>170</v>
      </c>
      <c r="B124" s="222">
        <f t="shared" si="40"/>
        <v>660942.58333333337</v>
      </c>
      <c r="C124" s="222">
        <v>660942.58333333337</v>
      </c>
      <c r="D124" s="222">
        <v>660942.58333333337</v>
      </c>
      <c r="E124" s="222">
        <v>660942.58333333337</v>
      </c>
      <c r="F124" s="222">
        <v>660942.58333333337</v>
      </c>
      <c r="G124" s="222">
        <v>660942.58333333337</v>
      </c>
      <c r="H124" s="222">
        <v>660942.58333333337</v>
      </c>
      <c r="I124" s="222">
        <v>660942.58333333337</v>
      </c>
      <c r="J124" s="222">
        <v>660942.58333333337</v>
      </c>
      <c r="K124" s="222">
        <v>660942.58333333337</v>
      </c>
      <c r="L124" s="222">
        <v>660942.58333333337</v>
      </c>
      <c r="M124" s="222">
        <v>660942.58333333337</v>
      </c>
      <c r="N124" s="185">
        <v>7931311</v>
      </c>
      <c r="O124" s="176">
        <v>20937577</v>
      </c>
      <c r="P124" s="176">
        <f t="shared" si="34"/>
        <v>-13006266</v>
      </c>
      <c r="Q124" s="221">
        <f t="shared" si="36"/>
        <v>2.6398633214609792</v>
      </c>
    </row>
    <row r="125" spans="1:17">
      <c r="A125" s="149" t="s">
        <v>171</v>
      </c>
      <c r="B125" s="150">
        <f>SUM(B119:B124)</f>
        <v>15387860.160416666</v>
      </c>
      <c r="C125" s="150">
        <f t="shared" ref="C125:P125" si="41">SUM(C119:C124)</f>
        <v>15387860.160416666</v>
      </c>
      <c r="D125" s="150">
        <f t="shared" si="41"/>
        <v>15387860.160416666</v>
      </c>
      <c r="E125" s="150">
        <f t="shared" si="41"/>
        <v>15387860.160416666</v>
      </c>
      <c r="F125" s="150">
        <f t="shared" si="41"/>
        <v>15387860.160416666</v>
      </c>
      <c r="G125" s="150">
        <f t="shared" si="41"/>
        <v>15387860.160416666</v>
      </c>
      <c r="H125" s="150">
        <f t="shared" si="41"/>
        <v>15387860.160416666</v>
      </c>
      <c r="I125" s="150">
        <f t="shared" si="41"/>
        <v>15387860.160416666</v>
      </c>
      <c r="J125" s="150">
        <f t="shared" si="41"/>
        <v>15387860.160416666</v>
      </c>
      <c r="K125" s="150">
        <f t="shared" si="41"/>
        <v>15387860.160416666</v>
      </c>
      <c r="L125" s="150">
        <f t="shared" si="41"/>
        <v>15387860.160416666</v>
      </c>
      <c r="M125" s="150">
        <f t="shared" si="41"/>
        <v>15387860.160416666</v>
      </c>
      <c r="N125" s="25">
        <f t="shared" si="41"/>
        <v>184654321.92499998</v>
      </c>
      <c r="O125" s="25">
        <f t="shared" si="41"/>
        <v>97857049</v>
      </c>
      <c r="P125" s="25">
        <f t="shared" si="41"/>
        <v>86797272.924999997</v>
      </c>
      <c r="Q125" s="194">
        <f t="shared" si="36"/>
        <v>0.52994724401709947</v>
      </c>
    </row>
    <row r="126" spans="1:17">
      <c r="A126" s="182" t="s">
        <v>172</v>
      </c>
      <c r="B126" s="150">
        <f t="shared" ref="B126:O126" si="42">B101-B110-B117-B125</f>
        <v>-50096282.359728292</v>
      </c>
      <c r="C126" s="150">
        <f t="shared" si="42"/>
        <v>-34892865.69306165</v>
      </c>
      <c r="D126" s="150">
        <f t="shared" si="42"/>
        <v>-35508993.69306165</v>
      </c>
      <c r="E126" s="150">
        <f t="shared" si="42"/>
        <v>-35508993.69306162</v>
      </c>
      <c r="F126" s="150">
        <f t="shared" si="42"/>
        <v>16718629.279160589</v>
      </c>
      <c r="G126" s="150">
        <f t="shared" si="42"/>
        <v>16718629.279160589</v>
      </c>
      <c r="H126" s="150">
        <f t="shared" si="42"/>
        <v>16718629.279160589</v>
      </c>
      <c r="I126" s="150">
        <f t="shared" si="42"/>
        <v>16718629.279160589</v>
      </c>
      <c r="J126" s="150">
        <f t="shared" si="42"/>
        <v>27118629.279160585</v>
      </c>
      <c r="K126" s="150">
        <f t="shared" si="42"/>
        <v>34818545.460446298</v>
      </c>
      <c r="L126" s="150">
        <f t="shared" si="42"/>
        <v>34818545.460446298</v>
      </c>
      <c r="M126" s="150">
        <f t="shared" si="42"/>
        <v>41012100.460446298</v>
      </c>
      <c r="N126" s="25">
        <f t="shared" si="42"/>
        <v>-130559568.77288213</v>
      </c>
      <c r="O126" s="25">
        <f t="shared" si="42"/>
        <v>23785811.039673567</v>
      </c>
      <c r="P126" s="52">
        <f t="shared" si="34"/>
        <v>-154345379.8125557</v>
      </c>
      <c r="Q126" s="194">
        <f>O126/N126</f>
        <v>-0.18218359070295886</v>
      </c>
    </row>
    <row r="127" spans="1:17">
      <c r="A127" s="183" t="s">
        <v>173</v>
      </c>
      <c r="B127" s="102">
        <v>224364634</v>
      </c>
      <c r="C127" s="184"/>
      <c r="D127" s="184"/>
      <c r="E127" s="184"/>
      <c r="F127" s="184"/>
      <c r="G127" s="184"/>
      <c r="H127" s="184"/>
      <c r="I127" s="184"/>
      <c r="J127" s="184"/>
      <c r="K127" s="184"/>
      <c r="L127" s="184"/>
      <c r="M127" s="184"/>
      <c r="N127" s="10"/>
      <c r="O127" s="13">
        <v>224364634</v>
      </c>
      <c r="P127" s="165"/>
      <c r="Q127" s="11"/>
    </row>
    <row r="128" spans="1:17">
      <c r="A128" s="148" t="s">
        <v>174</v>
      </c>
      <c r="B128" s="156"/>
      <c r="C128" s="156"/>
      <c r="D128" s="156"/>
      <c r="E128" s="156"/>
      <c r="F128" s="156"/>
      <c r="G128" s="156"/>
      <c r="H128" s="156"/>
      <c r="I128" s="156"/>
      <c r="J128" s="156"/>
      <c r="K128" s="156"/>
      <c r="L128" s="156"/>
      <c r="M128" s="156"/>
      <c r="N128" s="20">
        <f>N126+B127</f>
        <v>93805065.227117866</v>
      </c>
      <c r="O128" s="20">
        <f>O126+O127</f>
        <v>248150445.03967357</v>
      </c>
      <c r="P128" s="20">
        <f t="shared" ref="P128" si="43">P126+P127</f>
        <v>-154345379.8125557</v>
      </c>
      <c r="Q128" s="195">
        <f>O128/N128</f>
        <v>2.6453842811031532</v>
      </c>
    </row>
    <row r="131" spans="15:15">
      <c r="O131" s="68"/>
    </row>
    <row r="132" spans="15:15">
      <c r="O132" s="68"/>
    </row>
  </sheetData>
  <mergeCells count="2">
    <mergeCell ref="B6:M6"/>
    <mergeCell ref="A1:Q1"/>
  </mergeCells>
  <phoneticPr fontId="9" type="noConversion"/>
  <pageMargins left="0.7" right="0.7" top="0.75" bottom="0.75" header="0.3" footer="0.3"/>
  <pageSetup scale="7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H144"/>
  <sheetViews>
    <sheetView zoomScale="110" zoomScaleNormal="110" zoomScaleSheetLayoutView="11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A8" sqref="A8"/>
    </sheetView>
  </sheetViews>
  <sheetFormatPr defaultRowHeight="14.5"/>
  <cols>
    <col min="1" max="1" width="2.26953125" customWidth="1"/>
    <col min="2" max="2" width="56.26953125" bestFit="1" customWidth="1"/>
    <col min="3" max="3" width="14.81640625" bestFit="1" customWidth="1"/>
    <col min="4" max="4" width="14.54296875" customWidth="1"/>
    <col min="5" max="5" width="14.81640625" bestFit="1" customWidth="1"/>
    <col min="6" max="6" width="13.1796875" style="1" bestFit="1" customWidth="1"/>
    <col min="7" max="7" width="15.54296875" customWidth="1"/>
    <col min="8" max="8" width="10.1796875" customWidth="1"/>
    <col min="9" max="10" width="8.54296875" customWidth="1"/>
    <col min="11" max="11" width="10.26953125" customWidth="1"/>
    <col min="12" max="13" width="8.54296875" customWidth="1"/>
    <col min="14" max="14" width="10.453125" customWidth="1"/>
    <col min="15" max="15" width="8.54296875" customWidth="1"/>
    <col min="16" max="16" width="14.7265625" style="1" customWidth="1"/>
    <col min="17" max="17" width="20.453125" customWidth="1"/>
    <col min="18" max="18" width="11.7265625" customWidth="1"/>
    <col min="19" max="19" width="13.1796875" bestFit="1" customWidth="1"/>
    <col min="20" max="21" width="11.7265625" customWidth="1"/>
    <col min="22" max="22" width="12.453125" customWidth="1"/>
    <col min="23" max="24" width="15.7265625" customWidth="1"/>
    <col min="25" max="25" width="9" customWidth="1"/>
    <col min="26" max="26" width="10.54296875" bestFit="1" customWidth="1"/>
    <col min="27" max="27" width="9.54296875" bestFit="1" customWidth="1"/>
    <col min="28" max="28" width="14.81640625" bestFit="1" customWidth="1"/>
    <col min="29" max="29" width="21" customWidth="1"/>
    <col min="30" max="30" width="16.7265625" customWidth="1"/>
    <col min="31" max="31" width="14.26953125" customWidth="1"/>
    <col min="32" max="32" width="15.54296875" bestFit="1" customWidth="1"/>
    <col min="33" max="33" width="15.54296875" customWidth="1"/>
    <col min="34" max="34" width="17" customWidth="1"/>
    <col min="35" max="35" width="15.54296875" customWidth="1"/>
  </cols>
  <sheetData>
    <row r="1" spans="1:33">
      <c r="B1" s="11"/>
      <c r="C1" s="251" t="s">
        <v>73</v>
      </c>
      <c r="D1" s="251"/>
      <c r="E1" s="251"/>
      <c r="F1" s="251"/>
      <c r="G1" s="250" t="s">
        <v>72</v>
      </c>
      <c r="H1" s="250"/>
      <c r="I1" s="250"/>
      <c r="J1" s="250"/>
      <c r="K1" s="250"/>
      <c r="L1" s="250"/>
      <c r="M1" s="250"/>
      <c r="N1" s="250"/>
      <c r="O1" s="250"/>
      <c r="P1" s="250"/>
      <c r="Q1" s="48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</row>
    <row r="2" spans="1:33">
      <c r="B2" s="11"/>
      <c r="C2" s="36"/>
      <c r="D2" s="36"/>
      <c r="E2" s="36"/>
      <c r="F2" s="36"/>
      <c r="G2" s="252" t="s">
        <v>77</v>
      </c>
      <c r="H2" s="253"/>
      <c r="I2" s="254"/>
      <c r="J2" s="255" t="s">
        <v>78</v>
      </c>
      <c r="K2" s="256"/>
      <c r="L2" s="257"/>
      <c r="M2" s="252" t="s">
        <v>79</v>
      </c>
      <c r="N2" s="253"/>
      <c r="O2" s="254"/>
      <c r="P2" s="45"/>
      <c r="Q2" s="48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</row>
    <row r="3" spans="1:33" s="1" customFormat="1" ht="29">
      <c r="B3" s="10"/>
      <c r="C3" s="50" t="s">
        <v>27</v>
      </c>
      <c r="D3" s="50" t="s">
        <v>28</v>
      </c>
      <c r="E3" s="50" t="s">
        <v>71</v>
      </c>
      <c r="F3" s="50" t="s">
        <v>281</v>
      </c>
      <c r="G3" s="49" t="s">
        <v>27</v>
      </c>
      <c r="H3" s="49" t="s">
        <v>28</v>
      </c>
      <c r="I3" s="49" t="s">
        <v>71</v>
      </c>
      <c r="J3" s="49" t="s">
        <v>27</v>
      </c>
      <c r="K3" s="49" t="s">
        <v>28</v>
      </c>
      <c r="L3" s="49" t="s">
        <v>71</v>
      </c>
      <c r="M3" s="49" t="s">
        <v>27</v>
      </c>
      <c r="N3" s="49" t="s">
        <v>28</v>
      </c>
      <c r="O3" s="49" t="s">
        <v>71</v>
      </c>
      <c r="P3" s="49" t="s">
        <v>80</v>
      </c>
      <c r="Q3" s="29" t="s">
        <v>74</v>
      </c>
      <c r="R3" s="249" t="s">
        <v>53</v>
      </c>
      <c r="S3" s="249"/>
      <c r="T3" s="249"/>
      <c r="U3" s="249"/>
      <c r="V3" s="249"/>
      <c r="W3" s="16"/>
      <c r="X3" s="16"/>
      <c r="Y3" s="16"/>
      <c r="Z3" s="16"/>
      <c r="AA3" s="16"/>
      <c r="AB3" s="10" t="s">
        <v>52</v>
      </c>
      <c r="AC3" s="29" t="s">
        <v>92</v>
      </c>
      <c r="AD3" s="10" t="s">
        <v>56</v>
      </c>
      <c r="AE3" s="10" t="s">
        <v>59</v>
      </c>
      <c r="AF3" s="10" t="s">
        <v>60</v>
      </c>
      <c r="AG3" s="10" t="s">
        <v>57</v>
      </c>
    </row>
    <row r="4" spans="1:33" s="1" customFormat="1" ht="29">
      <c r="B4" s="13"/>
      <c r="C4" s="37"/>
      <c r="D4" s="37"/>
      <c r="E4" s="37"/>
      <c r="F4" s="37"/>
      <c r="G4" s="46"/>
      <c r="H4" s="46"/>
      <c r="I4" s="46"/>
      <c r="J4" s="46"/>
      <c r="K4" s="46"/>
      <c r="L4" s="46"/>
      <c r="M4" s="46"/>
      <c r="N4" s="46"/>
      <c r="O4" s="46"/>
      <c r="P4" s="46"/>
      <c r="Q4" s="35"/>
      <c r="R4" s="258" t="s">
        <v>54</v>
      </c>
      <c r="S4" s="258"/>
      <c r="T4" s="258" t="s">
        <v>55</v>
      </c>
      <c r="U4" s="258"/>
      <c r="V4" s="1" t="s">
        <v>91</v>
      </c>
      <c r="W4" s="30" t="s">
        <v>58</v>
      </c>
      <c r="X4" s="67" t="s">
        <v>95</v>
      </c>
      <c r="Y4" s="246" t="s">
        <v>96</v>
      </c>
      <c r="Z4" s="247"/>
      <c r="AA4" s="248"/>
      <c r="AB4" s="13"/>
      <c r="AC4" s="13"/>
      <c r="AD4" s="13"/>
      <c r="AE4" s="13"/>
      <c r="AF4" s="13"/>
      <c r="AG4" s="13"/>
    </row>
    <row r="5" spans="1:33" s="1" customFormat="1">
      <c r="B5" s="13"/>
      <c r="C5" s="37"/>
      <c r="D5" s="37"/>
      <c r="E5" s="37"/>
      <c r="F5" s="37"/>
      <c r="G5" s="46"/>
      <c r="H5" s="46"/>
      <c r="I5" s="46"/>
      <c r="J5" s="46"/>
      <c r="K5" s="46"/>
      <c r="L5" s="46"/>
      <c r="M5" s="46"/>
      <c r="N5" s="46"/>
      <c r="O5" s="46"/>
      <c r="P5" s="46"/>
      <c r="Q5" s="35"/>
      <c r="R5" s="30" t="s">
        <v>93</v>
      </c>
      <c r="S5" s="30" t="s">
        <v>94</v>
      </c>
      <c r="T5" s="30" t="s">
        <v>93</v>
      </c>
      <c r="U5" s="30" t="s">
        <v>94</v>
      </c>
      <c r="V5" s="30" t="s">
        <v>94</v>
      </c>
      <c r="W5" s="30"/>
      <c r="X5" s="30"/>
      <c r="Y5" s="30" t="s">
        <v>97</v>
      </c>
      <c r="Z5" s="30" t="s">
        <v>98</v>
      </c>
      <c r="AA5" s="30" t="s">
        <v>99</v>
      </c>
      <c r="AB5" s="13"/>
      <c r="AC5" s="13"/>
      <c r="AD5" s="13"/>
      <c r="AE5" s="13"/>
      <c r="AF5" s="13"/>
      <c r="AG5" s="13"/>
    </row>
    <row r="6" spans="1:33" s="1" customFormat="1">
      <c r="B6" s="13" t="s">
        <v>43</v>
      </c>
      <c r="C6" s="37"/>
      <c r="D6" s="37"/>
      <c r="E6" s="37"/>
      <c r="F6" s="37"/>
      <c r="G6" s="46"/>
      <c r="H6" s="46"/>
      <c r="I6" s="46"/>
      <c r="J6" s="46"/>
      <c r="K6" s="46"/>
      <c r="L6" s="46"/>
      <c r="M6" s="46"/>
      <c r="N6" s="46"/>
      <c r="O6" s="46"/>
      <c r="P6" s="46"/>
      <c r="Q6" s="35"/>
      <c r="R6" s="10"/>
      <c r="S6" s="10"/>
      <c r="T6" s="10"/>
      <c r="U6" s="10"/>
      <c r="V6" s="10"/>
      <c r="W6" s="30"/>
      <c r="X6" s="30"/>
      <c r="Y6" s="30"/>
      <c r="Z6" s="30"/>
      <c r="AA6" s="30"/>
      <c r="AB6" s="13"/>
      <c r="AC6" s="13"/>
      <c r="AD6" s="13"/>
      <c r="AE6" s="13"/>
      <c r="AF6" s="13"/>
      <c r="AG6" s="13"/>
    </row>
    <row r="7" spans="1:33" s="1" customFormat="1">
      <c r="B7" s="31" t="s">
        <v>61</v>
      </c>
      <c r="C7" s="38"/>
      <c r="D7" s="37"/>
      <c r="E7" s="37"/>
      <c r="F7" s="37"/>
      <c r="G7" s="46"/>
      <c r="H7" s="46"/>
      <c r="I7" s="46"/>
      <c r="J7" s="46"/>
      <c r="K7" s="46"/>
      <c r="L7" s="46"/>
      <c r="M7" s="46"/>
      <c r="N7" s="46"/>
      <c r="O7" s="46"/>
      <c r="P7" s="46"/>
      <c r="Q7" s="35"/>
      <c r="R7" s="30"/>
      <c r="S7" s="30"/>
      <c r="T7" s="30"/>
      <c r="U7" s="30"/>
      <c r="V7" s="30"/>
      <c r="W7" s="30"/>
      <c r="X7" s="30"/>
      <c r="Y7" s="30"/>
      <c r="Z7" s="30"/>
      <c r="AA7" s="30"/>
      <c r="AB7" s="13"/>
      <c r="AC7" s="13"/>
      <c r="AD7" s="13"/>
      <c r="AE7" s="13"/>
      <c r="AF7" s="13"/>
      <c r="AG7" s="13"/>
    </row>
    <row r="8" spans="1:33" ht="15.5">
      <c r="A8" s="242"/>
      <c r="B8" s="13" t="s">
        <v>23</v>
      </c>
      <c r="C8" s="39">
        <v>22</v>
      </c>
      <c r="D8" s="39">
        <v>0</v>
      </c>
      <c r="E8" s="39">
        <v>0</v>
      </c>
      <c r="F8" s="37">
        <f>SUM(C8:E8)</f>
        <v>22</v>
      </c>
      <c r="G8" s="47"/>
      <c r="H8" s="47">
        <v>0</v>
      </c>
      <c r="I8" s="47">
        <v>0</v>
      </c>
      <c r="J8" s="47">
        <v>15</v>
      </c>
      <c r="K8" s="47">
        <v>0</v>
      </c>
      <c r="L8" s="47">
        <v>0</v>
      </c>
      <c r="M8" s="47"/>
      <c r="N8" s="47">
        <v>0</v>
      </c>
      <c r="O8" s="47">
        <v>0</v>
      </c>
      <c r="P8" s="46">
        <f>SUM(G8:O8)</f>
        <v>15</v>
      </c>
      <c r="Q8" s="35">
        <f>F8+P8</f>
        <v>37</v>
      </c>
      <c r="R8" s="12">
        <v>14</v>
      </c>
      <c r="S8" s="12"/>
      <c r="T8" s="12"/>
      <c r="U8" s="12">
        <v>10</v>
      </c>
      <c r="V8" s="12">
        <v>5</v>
      </c>
      <c r="W8" s="12">
        <f>Q8-SUM(R8:V8)</f>
        <v>8</v>
      </c>
      <c r="X8" s="12">
        <f>F8-R8-T8</f>
        <v>8</v>
      </c>
      <c r="Y8" s="12"/>
      <c r="Z8" s="12"/>
      <c r="AA8" s="12"/>
      <c r="AB8" s="12">
        <f>((X8*600000)+(Y8*600000)+(Z8*450000)+(AA8*300000))</f>
        <v>4800000</v>
      </c>
      <c r="AC8" s="12">
        <f>W8*33000</f>
        <v>264000</v>
      </c>
      <c r="AD8" s="12">
        <f>W8*5000</f>
        <v>40000</v>
      </c>
      <c r="AE8" s="12"/>
      <c r="AF8" s="12"/>
      <c r="AG8" s="12">
        <f>SUM(AB8:AD8)</f>
        <v>5104000</v>
      </c>
    </row>
    <row r="9" spans="1:33">
      <c r="B9" s="13" t="s">
        <v>24</v>
      </c>
      <c r="C9" s="39">
        <v>26</v>
      </c>
      <c r="D9" s="39">
        <v>0</v>
      </c>
      <c r="E9" s="39">
        <v>0</v>
      </c>
      <c r="F9" s="37">
        <f t="shared" ref="F9:F78" si="0">SUM(C9:E9)</f>
        <v>26</v>
      </c>
      <c r="G9" s="47">
        <v>0</v>
      </c>
      <c r="H9" s="47">
        <v>0</v>
      </c>
      <c r="I9" s="47">
        <v>0</v>
      </c>
      <c r="J9" s="47">
        <v>0</v>
      </c>
      <c r="K9" s="47">
        <v>0</v>
      </c>
      <c r="L9" s="47">
        <v>0</v>
      </c>
      <c r="M9" s="47">
        <v>0</v>
      </c>
      <c r="N9" s="47">
        <v>0</v>
      </c>
      <c r="O9" s="47">
        <v>0</v>
      </c>
      <c r="P9" s="46">
        <f t="shared" ref="P9:P81" si="1">SUM(G9:O9)</f>
        <v>0</v>
      </c>
      <c r="Q9" s="35">
        <f>F9+P9</f>
        <v>26</v>
      </c>
      <c r="R9" s="12">
        <v>0</v>
      </c>
      <c r="S9" s="12"/>
      <c r="T9" s="12"/>
      <c r="U9" s="12"/>
      <c r="V9" s="12"/>
      <c r="W9" s="12">
        <f>Q9-SUM(R9:V9)</f>
        <v>26</v>
      </c>
      <c r="X9" s="12">
        <f>F9-R9-T9</f>
        <v>26</v>
      </c>
      <c r="Y9" s="12"/>
      <c r="Z9" s="12"/>
      <c r="AA9" s="12"/>
      <c r="AB9" s="12">
        <f>((X9*600000)+(Y9*600000)+(Z9*450000)+(AA9*300000))</f>
        <v>15600000</v>
      </c>
      <c r="AC9" s="12">
        <f t="shared" ref="AC9:AC11" si="2">W9*33000</f>
        <v>858000</v>
      </c>
      <c r="AD9" s="12"/>
      <c r="AE9" s="12">
        <f>(X9-Y9-Z9-AA9)*160000</f>
        <v>4160000</v>
      </c>
      <c r="AF9" s="12"/>
      <c r="AG9" s="12">
        <f t="shared" ref="AG9:AG11" si="3">SUM(AB9:AD9)</f>
        <v>16458000</v>
      </c>
    </row>
    <row r="10" spans="1:33">
      <c r="B10" s="13" t="s">
        <v>25</v>
      </c>
      <c r="C10" s="39">
        <v>76</v>
      </c>
      <c r="D10" s="39">
        <v>0</v>
      </c>
      <c r="E10" s="39">
        <v>0</v>
      </c>
      <c r="F10" s="37">
        <f t="shared" si="0"/>
        <v>76</v>
      </c>
      <c r="G10" s="47">
        <v>10</v>
      </c>
      <c r="H10" s="47">
        <v>0</v>
      </c>
      <c r="I10" s="47">
        <v>0</v>
      </c>
      <c r="J10" s="47"/>
      <c r="K10" s="47">
        <v>0</v>
      </c>
      <c r="L10" s="47">
        <v>0</v>
      </c>
      <c r="M10" s="47">
        <v>20</v>
      </c>
      <c r="N10" s="47">
        <v>0</v>
      </c>
      <c r="O10" s="47">
        <v>0</v>
      </c>
      <c r="P10" s="46">
        <f t="shared" si="1"/>
        <v>30</v>
      </c>
      <c r="Q10" s="35">
        <f>F10+P10</f>
        <v>106</v>
      </c>
      <c r="R10" s="12">
        <v>0</v>
      </c>
      <c r="S10" s="12"/>
      <c r="T10" s="12"/>
      <c r="U10" s="12">
        <v>30</v>
      </c>
      <c r="V10" s="12"/>
      <c r="W10" s="12">
        <f>Q10-SUM(R10:V10)</f>
        <v>76</v>
      </c>
      <c r="X10" s="12">
        <f>F10-R10-T10</f>
        <v>76</v>
      </c>
      <c r="Y10" s="12">
        <v>0</v>
      </c>
      <c r="Z10" s="12"/>
      <c r="AA10" s="12">
        <v>0</v>
      </c>
      <c r="AB10" s="12">
        <f>((X10*600000)+(Y10*600000)+(Z10*450000)+(AA10*300000))</f>
        <v>45600000</v>
      </c>
      <c r="AC10" s="12">
        <f t="shared" si="2"/>
        <v>2508000</v>
      </c>
      <c r="AD10" s="12"/>
      <c r="AE10" s="12">
        <f t="shared" ref="AE10" si="4">(X10-Y10-Z10-AA10)*160000</f>
        <v>12160000</v>
      </c>
      <c r="AF10" s="12"/>
      <c r="AG10" s="12">
        <f t="shared" si="3"/>
        <v>48108000</v>
      </c>
    </row>
    <row r="11" spans="1:33">
      <c r="B11" s="13" t="s">
        <v>26</v>
      </c>
      <c r="C11" s="39">
        <v>18</v>
      </c>
      <c r="D11" s="39">
        <v>0</v>
      </c>
      <c r="E11" s="39">
        <v>0</v>
      </c>
      <c r="F11" s="37">
        <f t="shared" si="0"/>
        <v>18</v>
      </c>
      <c r="G11" s="47">
        <v>0</v>
      </c>
      <c r="H11" s="47">
        <v>0</v>
      </c>
      <c r="I11" s="47">
        <v>0</v>
      </c>
      <c r="J11" s="47">
        <v>0</v>
      </c>
      <c r="K11" s="47">
        <v>0</v>
      </c>
      <c r="L11" s="47">
        <v>0</v>
      </c>
      <c r="M11" s="47">
        <v>0</v>
      </c>
      <c r="N11" s="47">
        <v>0</v>
      </c>
      <c r="O11" s="47">
        <v>0</v>
      </c>
      <c r="P11" s="46">
        <f t="shared" si="1"/>
        <v>0</v>
      </c>
      <c r="Q11" s="35">
        <f>F11+P11</f>
        <v>18</v>
      </c>
      <c r="R11" s="12">
        <v>0</v>
      </c>
      <c r="S11" s="12"/>
      <c r="T11" s="12"/>
      <c r="U11" s="12"/>
      <c r="V11" s="12"/>
      <c r="W11" s="12">
        <f>Q11-SUM(R11:V11)</f>
        <v>18</v>
      </c>
      <c r="X11" s="12">
        <f>F11-R11-T11</f>
        <v>18</v>
      </c>
      <c r="Y11" s="12"/>
      <c r="Z11" s="12"/>
      <c r="AA11" s="12"/>
      <c r="AB11" s="12">
        <f t="shared" ref="AB11" si="5">((X11*600000)+(Y11*600000)+(Z11*450000)+(AA11*300000))</f>
        <v>10800000</v>
      </c>
      <c r="AC11" s="12">
        <f t="shared" si="2"/>
        <v>594000</v>
      </c>
      <c r="AD11" s="12"/>
      <c r="AE11" s="12">
        <f>(X11-Y11-Z11-AA11)*160000</f>
        <v>2880000</v>
      </c>
      <c r="AF11" s="12"/>
      <c r="AG11" s="12">
        <f t="shared" si="3"/>
        <v>11394000</v>
      </c>
    </row>
    <row r="12" spans="1:33">
      <c r="B12" s="13" t="s">
        <v>22</v>
      </c>
      <c r="C12" s="39"/>
      <c r="D12" s="39">
        <v>0</v>
      </c>
      <c r="E12" s="39">
        <v>0</v>
      </c>
      <c r="F12" s="37">
        <f>SUM(C12:E12)</f>
        <v>0</v>
      </c>
      <c r="G12" s="47">
        <v>0</v>
      </c>
      <c r="H12" s="47">
        <v>0</v>
      </c>
      <c r="I12" s="47">
        <v>0</v>
      </c>
      <c r="J12" s="47">
        <v>0</v>
      </c>
      <c r="K12" s="47">
        <v>0</v>
      </c>
      <c r="L12" s="47">
        <v>0</v>
      </c>
      <c r="M12" s="47">
        <v>0</v>
      </c>
      <c r="N12" s="47">
        <v>0</v>
      </c>
      <c r="O12" s="47">
        <v>0</v>
      </c>
      <c r="P12" s="46">
        <f t="shared" si="1"/>
        <v>0</v>
      </c>
      <c r="Q12" s="35">
        <f>F12+P12</f>
        <v>0</v>
      </c>
      <c r="R12" s="12"/>
      <c r="S12" s="12"/>
      <c r="T12" s="12"/>
      <c r="U12" s="12"/>
      <c r="V12" s="12"/>
      <c r="W12" s="12"/>
      <c r="X12" s="12">
        <f>F12-R12-T12</f>
        <v>0</v>
      </c>
      <c r="Y12" s="12"/>
      <c r="Z12" s="12"/>
      <c r="AA12" s="12"/>
      <c r="AB12" s="12"/>
      <c r="AC12" s="12"/>
      <c r="AD12" s="12"/>
      <c r="AE12" s="12"/>
      <c r="AF12" s="12"/>
      <c r="AG12" s="12"/>
    </row>
    <row r="13" spans="1:33" s="1" customFormat="1">
      <c r="B13" s="56" t="s">
        <v>75</v>
      </c>
      <c r="C13" s="57"/>
      <c r="D13" s="57"/>
      <c r="E13" s="57"/>
      <c r="F13" s="57">
        <f>SUM(F8:F12)</f>
        <v>142</v>
      </c>
      <c r="G13" s="57">
        <f t="shared" ref="G13:AG13" si="6">SUM(G8:G12)</f>
        <v>10</v>
      </c>
      <c r="H13" s="57">
        <f t="shared" si="6"/>
        <v>0</v>
      </c>
      <c r="I13" s="57">
        <f t="shared" si="6"/>
        <v>0</v>
      </c>
      <c r="J13" s="57">
        <f t="shared" si="6"/>
        <v>15</v>
      </c>
      <c r="K13" s="57">
        <f t="shared" si="6"/>
        <v>0</v>
      </c>
      <c r="L13" s="57">
        <f t="shared" si="6"/>
        <v>0</v>
      </c>
      <c r="M13" s="57">
        <f t="shared" si="6"/>
        <v>20</v>
      </c>
      <c r="N13" s="57">
        <f t="shared" si="6"/>
        <v>0</v>
      </c>
      <c r="O13" s="57">
        <f t="shared" si="6"/>
        <v>0</v>
      </c>
      <c r="P13" s="57">
        <f t="shared" si="6"/>
        <v>45</v>
      </c>
      <c r="Q13" s="57">
        <f>SUM(Q8:Q12)</f>
        <v>187</v>
      </c>
      <c r="R13" s="57">
        <f t="shared" si="6"/>
        <v>14</v>
      </c>
      <c r="S13" s="57">
        <f t="shared" ref="S13" si="7">SUM(S8:S12)</f>
        <v>0</v>
      </c>
      <c r="T13" s="57">
        <f t="shared" ref="T13" si="8">SUM(T8:T12)</f>
        <v>0</v>
      </c>
      <c r="U13" s="57">
        <f t="shared" ref="U13" si="9">SUM(U8:U12)</f>
        <v>40</v>
      </c>
      <c r="V13" s="57">
        <f t="shared" ref="V13" si="10">SUM(V8:V12)</f>
        <v>5</v>
      </c>
      <c r="W13" s="57">
        <f t="shared" ref="W13:X13" si="11">SUM(W8:W12)</f>
        <v>128</v>
      </c>
      <c r="X13" s="57">
        <f t="shared" si="11"/>
        <v>128</v>
      </c>
      <c r="Y13" s="57">
        <f t="shared" ref="Y13" si="12">SUM(Y8:Y12)</f>
        <v>0</v>
      </c>
      <c r="Z13" s="57">
        <f t="shared" ref="Z13" si="13">SUM(Z8:Z12)</f>
        <v>0</v>
      </c>
      <c r="AA13" s="57">
        <f t="shared" ref="AA13" si="14">SUM(AA8:AA12)</f>
        <v>0</v>
      </c>
      <c r="AB13" s="57">
        <f>SUM(AB8:AB12)</f>
        <v>76800000</v>
      </c>
      <c r="AC13" s="57">
        <f t="shared" si="6"/>
        <v>4224000</v>
      </c>
      <c r="AD13" s="57">
        <f t="shared" si="6"/>
        <v>40000</v>
      </c>
      <c r="AE13" s="57">
        <f t="shared" si="6"/>
        <v>19200000</v>
      </c>
      <c r="AF13" s="57">
        <f t="shared" si="6"/>
        <v>0</v>
      </c>
      <c r="AG13" s="57">
        <f t="shared" si="6"/>
        <v>81064000</v>
      </c>
    </row>
    <row r="14" spans="1:33">
      <c r="B14" s="31" t="s">
        <v>62</v>
      </c>
      <c r="C14" s="40"/>
      <c r="D14" s="41"/>
      <c r="E14" s="41"/>
      <c r="F14" s="37"/>
      <c r="G14" s="47"/>
      <c r="H14" s="47"/>
      <c r="I14" s="47"/>
      <c r="J14" s="47"/>
      <c r="K14" s="47"/>
      <c r="L14" s="47"/>
      <c r="M14" s="47"/>
      <c r="N14" s="47"/>
      <c r="O14" s="47"/>
      <c r="P14" s="46"/>
      <c r="Q14" s="35"/>
      <c r="R14" s="12"/>
      <c r="S14" s="12"/>
      <c r="T14" s="12"/>
      <c r="U14" s="12"/>
      <c r="V14" s="3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</row>
    <row r="15" spans="1:33">
      <c r="B15" s="13" t="s">
        <v>23</v>
      </c>
      <c r="C15" s="39">
        <f>35+4</f>
        <v>39</v>
      </c>
      <c r="D15" s="37">
        <v>23</v>
      </c>
      <c r="E15" s="37"/>
      <c r="F15" s="37">
        <f>SUM(C15:E15)</f>
        <v>62</v>
      </c>
      <c r="G15" s="47">
        <v>10</v>
      </c>
      <c r="H15" s="47">
        <v>20</v>
      </c>
      <c r="I15" s="47">
        <v>0</v>
      </c>
      <c r="J15" s="47">
        <v>30</v>
      </c>
      <c r="K15" s="47">
        <v>10</v>
      </c>
      <c r="L15" s="47">
        <v>0</v>
      </c>
      <c r="M15" s="47">
        <v>10</v>
      </c>
      <c r="N15" s="47">
        <v>20</v>
      </c>
      <c r="O15" s="47">
        <v>0</v>
      </c>
      <c r="P15" s="46">
        <f>SUM(G15:O15)</f>
        <v>100</v>
      </c>
      <c r="Q15" s="35">
        <f>F15+P15</f>
        <v>162</v>
      </c>
      <c r="R15" s="12"/>
      <c r="S15" s="12"/>
      <c r="T15" s="12">
        <f>21</f>
        <v>21</v>
      </c>
      <c r="U15" s="12">
        <v>50</v>
      </c>
      <c r="V15" s="28">
        <v>40</v>
      </c>
      <c r="W15" s="12">
        <f>Q15-SUM(R15:V15)</f>
        <v>51</v>
      </c>
      <c r="X15" s="12">
        <f>F15-R15-T15</f>
        <v>41</v>
      </c>
      <c r="Y15" s="12"/>
      <c r="Z15" s="12">
        <v>10</v>
      </c>
      <c r="AA15" s="12"/>
      <c r="AB15" s="12">
        <f>((X15*375000)+(Y15*375000)+(Z15*250000)+(AA15*125000))</f>
        <v>17875000</v>
      </c>
      <c r="AC15" s="12">
        <f>W15*33000</f>
        <v>1683000</v>
      </c>
      <c r="AD15" s="12">
        <f>W15*5000</f>
        <v>255000</v>
      </c>
      <c r="AE15" s="12"/>
      <c r="AF15" s="12"/>
      <c r="AG15" s="12">
        <f>SUM(AB15:AD15)</f>
        <v>19813000</v>
      </c>
    </row>
    <row r="16" spans="1:33" s="61" customFormat="1">
      <c r="B16" s="22" t="s">
        <v>24</v>
      </c>
      <c r="C16" s="62">
        <v>63</v>
      </c>
      <c r="D16" s="43"/>
      <c r="E16" s="43"/>
      <c r="F16" s="43">
        <f t="shared" si="0"/>
        <v>63</v>
      </c>
      <c r="G16" s="63">
        <v>0</v>
      </c>
      <c r="H16" s="63">
        <v>0</v>
      </c>
      <c r="I16" s="63">
        <v>0</v>
      </c>
      <c r="J16" s="63">
        <v>0</v>
      </c>
      <c r="K16" s="63">
        <v>0</v>
      </c>
      <c r="L16" s="63">
        <v>0</v>
      </c>
      <c r="M16" s="63">
        <v>0</v>
      </c>
      <c r="N16" s="63">
        <v>0</v>
      </c>
      <c r="O16" s="63">
        <v>0</v>
      </c>
      <c r="P16" s="64">
        <f t="shared" si="1"/>
        <v>0</v>
      </c>
      <c r="Q16" s="65">
        <f>F16+P16</f>
        <v>63</v>
      </c>
      <c r="R16" s="65"/>
      <c r="S16" s="65"/>
      <c r="T16" s="65">
        <v>66</v>
      </c>
      <c r="U16" s="65"/>
      <c r="V16" s="66"/>
      <c r="W16" s="65">
        <f>Q16-SUM(R16:V16)</f>
        <v>-3</v>
      </c>
      <c r="X16" s="65">
        <f>F16-R16-T16</f>
        <v>-3</v>
      </c>
      <c r="Y16" s="65"/>
      <c r="Z16" s="65"/>
      <c r="AA16" s="65"/>
      <c r="AB16" s="12"/>
      <c r="AC16" s="12"/>
      <c r="AD16" s="65"/>
      <c r="AE16" s="65"/>
      <c r="AF16" s="65"/>
      <c r="AG16" s="12">
        <f t="shared" ref="AG16:AG17" si="15">SUM(AB16:AD16)</f>
        <v>0</v>
      </c>
    </row>
    <row r="17" spans="2:33">
      <c r="B17" s="13" t="s">
        <v>25</v>
      </c>
      <c r="C17" s="39">
        <v>8</v>
      </c>
      <c r="D17" s="37">
        <v>20</v>
      </c>
      <c r="E17" s="37"/>
      <c r="F17" s="37">
        <f t="shared" si="0"/>
        <v>28</v>
      </c>
      <c r="G17" s="47">
        <v>0</v>
      </c>
      <c r="H17" s="47">
        <v>10</v>
      </c>
      <c r="I17" s="47">
        <v>0</v>
      </c>
      <c r="J17" s="47">
        <v>0</v>
      </c>
      <c r="K17" s="47"/>
      <c r="L17" s="47">
        <v>0</v>
      </c>
      <c r="M17" s="47">
        <v>0</v>
      </c>
      <c r="N17" s="47">
        <v>10</v>
      </c>
      <c r="O17" s="47">
        <v>0</v>
      </c>
      <c r="P17" s="46">
        <f t="shared" si="1"/>
        <v>20</v>
      </c>
      <c r="Q17" s="35">
        <f>F17+P17</f>
        <v>48</v>
      </c>
      <c r="R17" s="12"/>
      <c r="S17" s="12"/>
      <c r="T17" s="12"/>
      <c r="U17" s="12"/>
      <c r="V17" s="28"/>
      <c r="W17" s="12">
        <f>Q17-SUM(R17:V17)</f>
        <v>48</v>
      </c>
      <c r="X17" s="12">
        <f>F17-R17-T17</f>
        <v>28</v>
      </c>
      <c r="Y17" s="12"/>
      <c r="Z17" s="12">
        <v>10</v>
      </c>
      <c r="AA17" s="12">
        <v>10</v>
      </c>
      <c r="AB17" s="12">
        <f t="shared" ref="AB17:AB18" si="16">((X17*375000)+(Y17*375000)+(Z17*250000)+(AA17*125000))</f>
        <v>14250000</v>
      </c>
      <c r="AC17" s="12">
        <f t="shared" ref="AC17:AC19" si="17">W17*33000</f>
        <v>1584000</v>
      </c>
      <c r="AD17" s="12"/>
      <c r="AE17" s="12"/>
      <c r="AF17" s="12"/>
      <c r="AG17" s="12">
        <f t="shared" si="15"/>
        <v>15834000</v>
      </c>
    </row>
    <row r="18" spans="2:33">
      <c r="B18" s="13" t="s">
        <v>26</v>
      </c>
      <c r="C18" s="39">
        <v>17</v>
      </c>
      <c r="D18" s="37">
        <v>19</v>
      </c>
      <c r="E18" s="37"/>
      <c r="F18" s="37">
        <f t="shared" si="0"/>
        <v>36</v>
      </c>
      <c r="G18" s="47">
        <v>0</v>
      </c>
      <c r="H18" s="47">
        <v>0</v>
      </c>
      <c r="I18" s="47">
        <v>0</v>
      </c>
      <c r="J18" s="47">
        <v>0</v>
      </c>
      <c r="K18" s="47">
        <v>0</v>
      </c>
      <c r="L18" s="47">
        <v>0</v>
      </c>
      <c r="M18" s="47">
        <v>0</v>
      </c>
      <c r="N18" s="47">
        <v>0</v>
      </c>
      <c r="O18" s="47">
        <v>0</v>
      </c>
      <c r="P18" s="46">
        <f t="shared" si="1"/>
        <v>0</v>
      </c>
      <c r="Q18" s="35">
        <f>F18+P18</f>
        <v>36</v>
      </c>
      <c r="R18" s="12"/>
      <c r="S18" s="12"/>
      <c r="T18" s="12"/>
      <c r="U18" s="12"/>
      <c r="V18" s="28"/>
      <c r="W18" s="12">
        <f>Q18-SUM(R18:V18)</f>
        <v>36</v>
      </c>
      <c r="X18" s="12">
        <f>F18-R18-T18</f>
        <v>36</v>
      </c>
      <c r="Y18" s="12"/>
      <c r="Z18" s="12"/>
      <c r="AA18" s="12"/>
      <c r="AB18" s="12">
        <f t="shared" si="16"/>
        <v>13500000</v>
      </c>
      <c r="AC18" s="12">
        <f t="shared" si="17"/>
        <v>1188000</v>
      </c>
      <c r="AD18" s="12"/>
      <c r="AE18" s="12">
        <f>W18*30000</f>
        <v>1080000</v>
      </c>
      <c r="AF18" s="12">
        <f>W18*150000</f>
        <v>5400000</v>
      </c>
      <c r="AG18" s="12">
        <f>SUM(AB18:AD18)</f>
        <v>14688000</v>
      </c>
    </row>
    <row r="19" spans="2:33">
      <c r="B19" s="13" t="s">
        <v>22</v>
      </c>
      <c r="C19" s="39"/>
      <c r="D19" s="37"/>
      <c r="E19" s="37"/>
      <c r="F19" s="37">
        <f t="shared" si="0"/>
        <v>0</v>
      </c>
      <c r="G19" s="47">
        <v>0</v>
      </c>
      <c r="H19" s="47">
        <v>0</v>
      </c>
      <c r="I19" s="47">
        <v>0</v>
      </c>
      <c r="J19" s="47">
        <v>0</v>
      </c>
      <c r="K19" s="47">
        <v>0</v>
      </c>
      <c r="L19" s="47">
        <v>0</v>
      </c>
      <c r="M19" s="47">
        <v>0</v>
      </c>
      <c r="N19" s="47">
        <v>0</v>
      </c>
      <c r="O19" s="47">
        <v>0</v>
      </c>
      <c r="P19" s="46">
        <f t="shared" si="1"/>
        <v>0</v>
      </c>
      <c r="Q19" s="35">
        <f>F19+P19</f>
        <v>0</v>
      </c>
      <c r="R19" s="12"/>
      <c r="S19" s="12"/>
      <c r="T19" s="12"/>
      <c r="U19" s="12"/>
      <c r="V19" s="28"/>
      <c r="W19" s="12"/>
      <c r="X19" s="12">
        <f>F19-R19-T19</f>
        <v>0</v>
      </c>
      <c r="Y19" s="12"/>
      <c r="Z19" s="12"/>
      <c r="AA19" s="12"/>
      <c r="AB19" s="12">
        <f>((X19*375000)+(Y19*375000)+(Z19*250000)+(AA19*125000))</f>
        <v>0</v>
      </c>
      <c r="AC19" s="12">
        <f t="shared" si="17"/>
        <v>0</v>
      </c>
      <c r="AD19" s="12"/>
      <c r="AE19" s="12"/>
      <c r="AF19" s="12"/>
      <c r="AG19" s="12"/>
    </row>
    <row r="20" spans="2:33" ht="15.5">
      <c r="B20" s="57" t="s">
        <v>76</v>
      </c>
      <c r="C20" s="57">
        <f>SUM(C15:C19)</f>
        <v>127</v>
      </c>
      <c r="D20" s="57">
        <f>SUM(D15:D19)</f>
        <v>62</v>
      </c>
      <c r="E20" s="57"/>
      <c r="F20" s="57">
        <f>SUM(F15:F19)</f>
        <v>189</v>
      </c>
      <c r="G20" s="57">
        <f>SUM(G15:G19)</f>
        <v>10</v>
      </c>
      <c r="H20" s="57">
        <f t="shared" ref="H20:AF20" si="18">SUM(H15:H19)</f>
        <v>30</v>
      </c>
      <c r="I20" s="57">
        <f t="shared" si="18"/>
        <v>0</v>
      </c>
      <c r="J20" s="57">
        <f t="shared" si="18"/>
        <v>30</v>
      </c>
      <c r="K20" s="57">
        <f t="shared" si="18"/>
        <v>10</v>
      </c>
      <c r="L20" s="57">
        <f t="shared" si="18"/>
        <v>0</v>
      </c>
      <c r="M20" s="57">
        <f t="shared" si="18"/>
        <v>10</v>
      </c>
      <c r="N20" s="57">
        <f t="shared" si="18"/>
        <v>30</v>
      </c>
      <c r="O20" s="57">
        <f t="shared" si="18"/>
        <v>0</v>
      </c>
      <c r="P20" s="242"/>
      <c r="Q20" s="57">
        <f t="shared" si="18"/>
        <v>309</v>
      </c>
      <c r="R20" s="57">
        <f t="shared" si="18"/>
        <v>0</v>
      </c>
      <c r="S20" s="57">
        <f t="shared" ref="S20" si="19">SUM(S15:S19)</f>
        <v>0</v>
      </c>
      <c r="T20" s="57">
        <f t="shared" ref="T20" si="20">SUM(T15:T19)</f>
        <v>87</v>
      </c>
      <c r="U20" s="57">
        <f>SUM(U15:U19)</f>
        <v>50</v>
      </c>
      <c r="V20" s="57">
        <f t="shared" ref="V20" si="21">SUM(V15:V19)</f>
        <v>40</v>
      </c>
      <c r="W20" s="57">
        <f>SUM(W15:W19)</f>
        <v>132</v>
      </c>
      <c r="X20" s="57">
        <f>SUM(X15:X19)</f>
        <v>102</v>
      </c>
      <c r="Y20" s="57">
        <f t="shared" ref="Y20:AA20" si="22">SUM(Y15:Y19)</f>
        <v>0</v>
      </c>
      <c r="Z20" s="57">
        <f t="shared" si="22"/>
        <v>20</v>
      </c>
      <c r="AA20" s="57">
        <f t="shared" si="22"/>
        <v>10</v>
      </c>
      <c r="AB20" s="57">
        <f t="shared" si="18"/>
        <v>45625000</v>
      </c>
      <c r="AC20" s="57">
        <f t="shared" si="18"/>
        <v>4455000</v>
      </c>
      <c r="AD20" s="57">
        <f t="shared" si="18"/>
        <v>255000</v>
      </c>
      <c r="AE20" s="57">
        <f t="shared" si="18"/>
        <v>1080000</v>
      </c>
      <c r="AF20" s="57">
        <f t="shared" si="18"/>
        <v>5400000</v>
      </c>
      <c r="AG20" s="57">
        <f>SUM(AG15:AG19)</f>
        <v>50335000</v>
      </c>
    </row>
    <row r="21" spans="2:33">
      <c r="B21" s="57" t="s">
        <v>294</v>
      </c>
      <c r="C21" s="57"/>
      <c r="D21" s="57"/>
      <c r="E21" s="57"/>
      <c r="F21" s="57"/>
      <c r="G21" s="57"/>
      <c r="H21" s="57"/>
      <c r="I21" s="57"/>
      <c r="J21" s="57"/>
      <c r="K21" s="57"/>
      <c r="L21" s="57"/>
      <c r="M21" s="57"/>
      <c r="N21" s="57"/>
      <c r="O21" s="57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7"/>
      <c r="AA21" s="57"/>
      <c r="AB21" s="57"/>
      <c r="AC21" s="57"/>
      <c r="AD21" s="57"/>
      <c r="AE21" s="57"/>
      <c r="AF21" s="57"/>
      <c r="AG21" s="57"/>
    </row>
    <row r="22" spans="2:33">
      <c r="B22" s="13" t="s">
        <v>23</v>
      </c>
      <c r="C22" s="27">
        <v>0</v>
      </c>
      <c r="D22" s="27">
        <v>0</v>
      </c>
      <c r="E22" s="27">
        <v>0</v>
      </c>
      <c r="F22" s="27">
        <f>SUM(C22:E22)</f>
        <v>0</v>
      </c>
      <c r="G22" s="27">
        <v>0</v>
      </c>
      <c r="H22" s="27">
        <v>0</v>
      </c>
      <c r="I22" s="27">
        <v>0</v>
      </c>
      <c r="J22" s="27">
        <v>0</v>
      </c>
      <c r="K22" s="27">
        <v>0</v>
      </c>
      <c r="L22" s="27">
        <v>0</v>
      </c>
      <c r="M22" s="27">
        <v>50</v>
      </c>
      <c r="N22" s="27">
        <v>20</v>
      </c>
      <c r="O22" s="27"/>
      <c r="P22" s="27">
        <f>SUM(G22:O22)</f>
        <v>70</v>
      </c>
      <c r="Q22" s="27">
        <f>F22+P22</f>
        <v>70</v>
      </c>
      <c r="R22" s="27"/>
      <c r="S22" s="27"/>
      <c r="T22" s="27"/>
      <c r="U22" s="27"/>
      <c r="V22" s="27"/>
      <c r="W22" s="27">
        <f>Q22-SUM(R22:V22)</f>
        <v>70</v>
      </c>
      <c r="X22" s="27">
        <f>F22-R22-T22</f>
        <v>0</v>
      </c>
      <c r="Y22" s="27"/>
      <c r="Z22" s="27"/>
      <c r="AA22" s="27">
        <v>70</v>
      </c>
      <c r="AB22" s="27">
        <f>((X22*375000)+(Y22*375000)+(Z22*250000)+(AA22*125000))</f>
        <v>8750000</v>
      </c>
      <c r="AC22" s="27">
        <f>W22*33000</f>
        <v>2310000</v>
      </c>
      <c r="AD22" s="27">
        <f>W22*5000</f>
        <v>350000</v>
      </c>
      <c r="AE22" s="27"/>
      <c r="AF22" s="27"/>
      <c r="AG22" s="27">
        <f>SUM(AB22:AD22)</f>
        <v>11410000</v>
      </c>
    </row>
    <row r="23" spans="2:33">
      <c r="B23" s="13" t="s">
        <v>24</v>
      </c>
      <c r="C23" s="27">
        <v>0</v>
      </c>
      <c r="D23" s="27">
        <v>0</v>
      </c>
      <c r="E23" s="27">
        <v>0</v>
      </c>
      <c r="F23" s="27">
        <f t="shared" ref="F23:F26" si="23">SUM(C23:E23)</f>
        <v>0</v>
      </c>
      <c r="G23" s="27">
        <v>0</v>
      </c>
      <c r="H23" s="27">
        <v>0</v>
      </c>
      <c r="I23" s="27">
        <v>0</v>
      </c>
      <c r="J23" s="27">
        <v>0</v>
      </c>
      <c r="K23" s="27">
        <v>0</v>
      </c>
      <c r="L23" s="27">
        <v>0</v>
      </c>
      <c r="M23" s="27">
        <v>0</v>
      </c>
      <c r="N23" s="27">
        <v>0</v>
      </c>
      <c r="O23" s="27">
        <v>0</v>
      </c>
      <c r="P23" s="27">
        <f t="shared" ref="P23:P26" si="24">SUM(G23:O23)</f>
        <v>0</v>
      </c>
      <c r="Q23" s="27">
        <f t="shared" ref="Q23:Q26" si="25">F23+P23</f>
        <v>0</v>
      </c>
      <c r="R23" s="27"/>
      <c r="S23" s="27"/>
      <c r="T23" s="27"/>
      <c r="U23" s="27"/>
      <c r="V23" s="27"/>
      <c r="W23" s="27">
        <f t="shared" ref="W23:W26" si="26">Q23-SUM(R23:V23)</f>
        <v>0</v>
      </c>
      <c r="X23" s="27">
        <f t="shared" ref="X23:X26" si="27">F23-R23-T23</f>
        <v>0</v>
      </c>
      <c r="Y23" s="27"/>
      <c r="Z23" s="27"/>
      <c r="AA23" s="27"/>
      <c r="AB23" s="27"/>
      <c r="AC23" s="27">
        <f t="shared" ref="AC23:AC26" si="28">W23*33000</f>
        <v>0</v>
      </c>
      <c r="AD23" s="27">
        <f t="shared" ref="AD23:AD25" si="29">W23*5000</f>
        <v>0</v>
      </c>
      <c r="AE23" s="27">
        <v>0</v>
      </c>
      <c r="AF23" s="27">
        <v>0</v>
      </c>
      <c r="AG23" s="27">
        <f t="shared" ref="AG23:AG25" si="30">SUM(AB23:AD23)</f>
        <v>0</v>
      </c>
    </row>
    <row r="24" spans="2:33">
      <c r="B24" s="13" t="s">
        <v>25</v>
      </c>
      <c r="C24" s="27">
        <v>0</v>
      </c>
      <c r="D24" s="27">
        <v>0</v>
      </c>
      <c r="E24" s="27">
        <v>0</v>
      </c>
      <c r="F24" s="27">
        <f t="shared" si="23"/>
        <v>0</v>
      </c>
      <c r="G24" s="27">
        <v>0</v>
      </c>
      <c r="H24" s="27">
        <v>0</v>
      </c>
      <c r="I24" s="27">
        <v>0</v>
      </c>
      <c r="J24" s="27">
        <v>0</v>
      </c>
      <c r="K24" s="27">
        <v>0</v>
      </c>
      <c r="L24" s="27">
        <v>0</v>
      </c>
      <c r="M24" s="27">
        <v>0</v>
      </c>
      <c r="N24" s="27">
        <v>0</v>
      </c>
      <c r="O24" s="27">
        <v>0</v>
      </c>
      <c r="P24" s="27">
        <f t="shared" si="24"/>
        <v>0</v>
      </c>
      <c r="Q24" s="27">
        <f t="shared" si="25"/>
        <v>0</v>
      </c>
      <c r="R24" s="27"/>
      <c r="S24" s="27"/>
      <c r="T24" s="27"/>
      <c r="U24" s="27"/>
      <c r="V24" s="27"/>
      <c r="W24" s="27">
        <f t="shared" si="26"/>
        <v>0</v>
      </c>
      <c r="X24" s="27">
        <f t="shared" si="27"/>
        <v>0</v>
      </c>
      <c r="Y24" s="27"/>
      <c r="Z24" s="27"/>
      <c r="AA24" s="27"/>
      <c r="AB24" s="27"/>
      <c r="AC24" s="27">
        <f t="shared" si="28"/>
        <v>0</v>
      </c>
      <c r="AD24" s="27">
        <f t="shared" si="29"/>
        <v>0</v>
      </c>
      <c r="AE24" s="27">
        <v>0</v>
      </c>
      <c r="AF24" s="27">
        <v>0</v>
      </c>
      <c r="AG24" s="27">
        <f t="shared" si="30"/>
        <v>0</v>
      </c>
    </row>
    <row r="25" spans="2:33">
      <c r="B25" s="13" t="s">
        <v>26</v>
      </c>
      <c r="C25" s="27">
        <v>0</v>
      </c>
      <c r="D25" s="27">
        <v>0</v>
      </c>
      <c r="E25" s="27">
        <v>0</v>
      </c>
      <c r="F25" s="27">
        <f t="shared" si="23"/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f t="shared" si="24"/>
        <v>0</v>
      </c>
      <c r="Q25" s="27">
        <f t="shared" si="25"/>
        <v>0</v>
      </c>
      <c r="R25" s="27"/>
      <c r="S25" s="27"/>
      <c r="T25" s="27"/>
      <c r="U25" s="27"/>
      <c r="V25" s="27"/>
      <c r="W25" s="27">
        <f t="shared" si="26"/>
        <v>0</v>
      </c>
      <c r="X25" s="27">
        <f t="shared" si="27"/>
        <v>0</v>
      </c>
      <c r="Y25" s="27"/>
      <c r="Z25" s="27"/>
      <c r="AA25" s="27"/>
      <c r="AB25" s="27"/>
      <c r="AC25" s="27">
        <f t="shared" si="28"/>
        <v>0</v>
      </c>
      <c r="AD25" s="27">
        <f t="shared" si="29"/>
        <v>0</v>
      </c>
      <c r="AE25" s="27">
        <v>0</v>
      </c>
      <c r="AF25" s="27">
        <v>0</v>
      </c>
      <c r="AG25" s="27">
        <f t="shared" si="30"/>
        <v>0</v>
      </c>
    </row>
    <row r="26" spans="2:33">
      <c r="B26" s="13" t="s">
        <v>22</v>
      </c>
      <c r="C26" s="27">
        <v>0</v>
      </c>
      <c r="D26" s="27">
        <v>0</v>
      </c>
      <c r="E26" s="27">
        <v>0</v>
      </c>
      <c r="F26" s="27">
        <f t="shared" si="23"/>
        <v>0</v>
      </c>
      <c r="G26" s="27">
        <v>0</v>
      </c>
      <c r="H26" s="27">
        <v>0</v>
      </c>
      <c r="I26" s="27">
        <v>0</v>
      </c>
      <c r="J26" s="27">
        <v>0</v>
      </c>
      <c r="K26" s="27">
        <v>0</v>
      </c>
      <c r="L26" s="27">
        <v>0</v>
      </c>
      <c r="M26" s="27">
        <v>0</v>
      </c>
      <c r="N26" s="27">
        <v>0</v>
      </c>
      <c r="O26" s="27">
        <v>0</v>
      </c>
      <c r="P26" s="27">
        <f t="shared" si="24"/>
        <v>0</v>
      </c>
      <c r="Q26" s="27">
        <f t="shared" si="25"/>
        <v>0</v>
      </c>
      <c r="R26" s="27"/>
      <c r="S26" s="27"/>
      <c r="T26" s="27"/>
      <c r="U26" s="27"/>
      <c r="V26" s="27"/>
      <c r="W26" s="27">
        <f t="shared" si="26"/>
        <v>0</v>
      </c>
      <c r="X26" s="27">
        <f t="shared" si="27"/>
        <v>0</v>
      </c>
      <c r="Y26" s="27"/>
      <c r="Z26" s="27"/>
      <c r="AA26" s="27"/>
      <c r="AB26" s="27"/>
      <c r="AC26" s="27">
        <f t="shared" si="28"/>
        <v>0</v>
      </c>
      <c r="AD26" s="27">
        <f>W26*5000</f>
        <v>0</v>
      </c>
      <c r="AE26" s="27">
        <v>0</v>
      </c>
      <c r="AF26" s="27">
        <v>0</v>
      </c>
      <c r="AG26" s="27">
        <f>SUM(AB26:AD26)</f>
        <v>0</v>
      </c>
    </row>
    <row r="27" spans="2:33">
      <c r="B27" s="57" t="s">
        <v>295</v>
      </c>
      <c r="C27" s="57">
        <f>SUM(C22:C26)</f>
        <v>0</v>
      </c>
      <c r="D27" s="57">
        <f t="shared" ref="D27:E27" si="31">SUM(D22:D26)</f>
        <v>0</v>
      </c>
      <c r="E27" s="57">
        <f t="shared" si="31"/>
        <v>0</v>
      </c>
      <c r="F27" s="57">
        <f>SUM(F22:F26)</f>
        <v>0</v>
      </c>
      <c r="G27" s="57">
        <f t="shared" ref="G27:AF27" si="32">SUM(G22:G26)</f>
        <v>0</v>
      </c>
      <c r="H27" s="57">
        <f t="shared" si="32"/>
        <v>0</v>
      </c>
      <c r="I27" s="57">
        <f t="shared" si="32"/>
        <v>0</v>
      </c>
      <c r="J27" s="57">
        <f t="shared" si="32"/>
        <v>0</v>
      </c>
      <c r="K27" s="57">
        <f t="shared" si="32"/>
        <v>0</v>
      </c>
      <c r="L27" s="57">
        <f t="shared" si="32"/>
        <v>0</v>
      </c>
      <c r="M27" s="57">
        <f t="shared" si="32"/>
        <v>50</v>
      </c>
      <c r="N27" s="57">
        <f t="shared" si="32"/>
        <v>20</v>
      </c>
      <c r="O27" s="57">
        <f t="shared" si="32"/>
        <v>0</v>
      </c>
      <c r="P27" s="57">
        <f t="shared" si="32"/>
        <v>70</v>
      </c>
      <c r="Q27" s="57">
        <f t="shared" si="32"/>
        <v>70</v>
      </c>
      <c r="R27" s="57">
        <f t="shared" si="32"/>
        <v>0</v>
      </c>
      <c r="S27" s="57">
        <f t="shared" si="32"/>
        <v>0</v>
      </c>
      <c r="T27" s="57">
        <f t="shared" si="32"/>
        <v>0</v>
      </c>
      <c r="U27" s="57">
        <f t="shared" si="32"/>
        <v>0</v>
      </c>
      <c r="V27" s="57">
        <f t="shared" si="32"/>
        <v>0</v>
      </c>
      <c r="W27" s="57">
        <f t="shared" si="32"/>
        <v>70</v>
      </c>
      <c r="X27" s="57">
        <f t="shared" si="32"/>
        <v>0</v>
      </c>
      <c r="Y27" s="57">
        <f t="shared" si="32"/>
        <v>0</v>
      </c>
      <c r="Z27" s="57">
        <f t="shared" si="32"/>
        <v>0</v>
      </c>
      <c r="AA27" s="57">
        <f t="shared" si="32"/>
        <v>70</v>
      </c>
      <c r="AB27" s="57">
        <f t="shared" si="32"/>
        <v>8750000</v>
      </c>
      <c r="AC27" s="57">
        <f t="shared" si="32"/>
        <v>2310000</v>
      </c>
      <c r="AD27" s="57">
        <f t="shared" si="32"/>
        <v>350000</v>
      </c>
      <c r="AE27" s="57">
        <f t="shared" si="32"/>
        <v>0</v>
      </c>
      <c r="AF27" s="57">
        <f t="shared" si="32"/>
        <v>0</v>
      </c>
      <c r="AG27" s="57">
        <f>SUM(AG22:AG26)</f>
        <v>11410000</v>
      </c>
    </row>
    <row r="28" spans="2:33">
      <c r="B28" s="25" t="s">
        <v>84</v>
      </c>
      <c r="C28" s="25"/>
      <c r="D28" s="25"/>
      <c r="E28" s="51"/>
      <c r="F28" s="25">
        <f>F13+F20+F27</f>
        <v>331</v>
      </c>
      <c r="G28" s="25">
        <f t="shared" ref="G28:AF28" si="33">G13+G20+G27</f>
        <v>20</v>
      </c>
      <c r="H28" s="25">
        <f t="shared" si="33"/>
        <v>30</v>
      </c>
      <c r="I28" s="25">
        <f t="shared" si="33"/>
        <v>0</v>
      </c>
      <c r="J28" s="25">
        <f t="shared" si="33"/>
        <v>45</v>
      </c>
      <c r="K28" s="25">
        <f t="shared" si="33"/>
        <v>10</v>
      </c>
      <c r="L28" s="25">
        <f t="shared" si="33"/>
        <v>0</v>
      </c>
      <c r="M28" s="25">
        <f t="shared" si="33"/>
        <v>80</v>
      </c>
      <c r="N28" s="25">
        <f t="shared" si="33"/>
        <v>50</v>
      </c>
      <c r="O28" s="25">
        <f t="shared" si="33"/>
        <v>0</v>
      </c>
      <c r="P28" s="25">
        <f t="shared" si="33"/>
        <v>115</v>
      </c>
      <c r="Q28" s="25">
        <f t="shared" si="33"/>
        <v>566</v>
      </c>
      <c r="R28" s="25">
        <f t="shared" si="33"/>
        <v>14</v>
      </c>
      <c r="S28" s="25">
        <f t="shared" si="33"/>
        <v>0</v>
      </c>
      <c r="T28" s="25">
        <f t="shared" si="33"/>
        <v>87</v>
      </c>
      <c r="U28" s="25">
        <f t="shared" si="33"/>
        <v>90</v>
      </c>
      <c r="V28" s="25">
        <f t="shared" si="33"/>
        <v>45</v>
      </c>
      <c r="W28" s="25">
        <f t="shared" si="33"/>
        <v>330</v>
      </c>
      <c r="X28" s="25">
        <f t="shared" si="33"/>
        <v>230</v>
      </c>
      <c r="Y28" s="25">
        <f t="shared" si="33"/>
        <v>0</v>
      </c>
      <c r="Z28" s="25">
        <f t="shared" si="33"/>
        <v>20</v>
      </c>
      <c r="AA28" s="25">
        <f t="shared" si="33"/>
        <v>80</v>
      </c>
      <c r="AB28" s="25">
        <f t="shared" si="33"/>
        <v>131175000</v>
      </c>
      <c r="AC28" s="25">
        <f t="shared" si="33"/>
        <v>10989000</v>
      </c>
      <c r="AD28" s="25">
        <f t="shared" si="33"/>
        <v>645000</v>
      </c>
      <c r="AE28" s="25">
        <f t="shared" si="33"/>
        <v>20280000</v>
      </c>
      <c r="AF28" s="25">
        <f t="shared" si="33"/>
        <v>5400000</v>
      </c>
      <c r="AG28" s="25">
        <f>AG13+AG20+AG27</f>
        <v>142809000</v>
      </c>
    </row>
    <row r="29" spans="2:33">
      <c r="B29" s="13" t="s">
        <v>39</v>
      </c>
      <c r="C29" s="42"/>
      <c r="D29" s="39"/>
      <c r="E29" s="39"/>
      <c r="F29" s="37"/>
      <c r="G29" s="47"/>
      <c r="H29" s="47"/>
      <c r="I29" s="47"/>
      <c r="J29" s="47"/>
      <c r="K29" s="47"/>
      <c r="L29" s="47"/>
      <c r="M29" s="47"/>
      <c r="N29" s="47"/>
      <c r="O29" s="47"/>
      <c r="P29" s="46">
        <f t="shared" si="1"/>
        <v>0</v>
      </c>
      <c r="Q29" s="35"/>
      <c r="R29" s="12"/>
      <c r="S29" s="12"/>
      <c r="T29" s="12"/>
      <c r="U29" s="12"/>
      <c r="V29" s="28"/>
      <c r="W29" s="12"/>
      <c r="X29" s="12">
        <f t="shared" ref="X29:X35" si="34">F29-R29-T29</f>
        <v>0</v>
      </c>
      <c r="Y29" s="12"/>
      <c r="Z29" s="12"/>
      <c r="AA29" s="12"/>
      <c r="AB29" s="12"/>
      <c r="AC29" s="12"/>
      <c r="AD29" s="12"/>
      <c r="AE29" s="12"/>
      <c r="AF29" s="12"/>
      <c r="AG29" s="12"/>
    </row>
    <row r="30" spans="2:33">
      <c r="B30" s="13" t="s">
        <v>23</v>
      </c>
      <c r="C30" s="39">
        <v>0</v>
      </c>
      <c r="D30" s="39">
        <v>34</v>
      </c>
      <c r="E30" s="39"/>
      <c r="F30" s="37">
        <f t="shared" si="0"/>
        <v>34</v>
      </c>
      <c r="G30" s="47"/>
      <c r="H30" s="47">
        <v>10</v>
      </c>
      <c r="I30" s="47"/>
      <c r="J30" s="47"/>
      <c r="K30" s="47">
        <v>20</v>
      </c>
      <c r="L30" s="47"/>
      <c r="M30" s="47"/>
      <c r="N30" s="47">
        <v>10</v>
      </c>
      <c r="O30" s="47"/>
      <c r="P30" s="46">
        <f t="shared" si="1"/>
        <v>40</v>
      </c>
      <c r="Q30" s="35">
        <f t="shared" ref="Q30:Q35" si="35">F30+P30</f>
        <v>74</v>
      </c>
      <c r="R30" s="12"/>
      <c r="S30" s="12"/>
      <c r="T30" s="12"/>
      <c r="U30" s="12"/>
      <c r="V30" s="27"/>
      <c r="W30" s="12">
        <f t="shared" ref="W30:W35" si="36">Q30-SUM(R30:V30)</f>
        <v>74</v>
      </c>
      <c r="X30" s="12">
        <f>F30-R30-T30</f>
        <v>34</v>
      </c>
      <c r="Y30" s="12">
        <v>10</v>
      </c>
      <c r="Z30" s="12">
        <v>20</v>
      </c>
      <c r="AA30" s="12">
        <v>10</v>
      </c>
      <c r="AB30" s="12">
        <f>((X30*375000)+(Y30*375000)+(Z30*250000)+(AA30*125000))</f>
        <v>22750000</v>
      </c>
      <c r="AC30" s="12">
        <f>W30*33000</f>
        <v>2442000</v>
      </c>
      <c r="AD30" s="12">
        <f>W30*5000</f>
        <v>370000</v>
      </c>
      <c r="AE30" s="12"/>
      <c r="AF30" s="12"/>
      <c r="AG30" s="12">
        <f t="shared" ref="AG30:AG35" si="37">SUM(AB30:AD30)</f>
        <v>25562000</v>
      </c>
    </row>
    <row r="31" spans="2:33">
      <c r="B31" s="13" t="s">
        <v>24</v>
      </c>
      <c r="C31" s="39">
        <v>0</v>
      </c>
      <c r="D31" s="39">
        <v>0</v>
      </c>
      <c r="E31" s="39"/>
      <c r="F31" s="37">
        <f t="shared" si="0"/>
        <v>0</v>
      </c>
      <c r="G31" s="47"/>
      <c r="H31" s="47"/>
      <c r="I31" s="47"/>
      <c r="J31" s="47"/>
      <c r="K31" s="47"/>
      <c r="L31" s="47"/>
      <c r="M31" s="47"/>
      <c r="N31" s="47"/>
      <c r="O31" s="47"/>
      <c r="P31" s="46">
        <f t="shared" si="1"/>
        <v>0</v>
      </c>
      <c r="Q31" s="35">
        <f t="shared" si="35"/>
        <v>0</v>
      </c>
      <c r="R31" s="12"/>
      <c r="S31" s="12"/>
      <c r="T31" s="12"/>
      <c r="U31" s="12"/>
      <c r="V31" s="27"/>
      <c r="W31" s="12">
        <f t="shared" si="36"/>
        <v>0</v>
      </c>
      <c r="X31" s="12">
        <f t="shared" si="34"/>
        <v>0</v>
      </c>
      <c r="Y31" s="12"/>
      <c r="Z31" s="12"/>
      <c r="AA31" s="12"/>
      <c r="AB31" s="12">
        <f t="shared" ref="AB31:AB33" si="38">((X31*375000)+(Y31*375000)+(Z31*250000)+(AA31*125000))</f>
        <v>0</v>
      </c>
      <c r="AC31" s="12">
        <f t="shared" ref="AC31:AC34" si="39">W31*33000</f>
        <v>0</v>
      </c>
      <c r="AD31" s="12"/>
      <c r="AE31" s="12"/>
      <c r="AF31" s="12"/>
      <c r="AG31" s="12">
        <f t="shared" si="37"/>
        <v>0</v>
      </c>
    </row>
    <row r="32" spans="2:33" ht="14.25" customHeight="1">
      <c r="B32" s="13" t="s">
        <v>25</v>
      </c>
      <c r="C32" s="39">
        <v>0</v>
      </c>
      <c r="D32" s="39">
        <v>14</v>
      </c>
      <c r="E32" s="39"/>
      <c r="F32" s="37">
        <f t="shared" si="0"/>
        <v>14</v>
      </c>
      <c r="G32" s="47"/>
      <c r="H32" s="47"/>
      <c r="I32" s="47"/>
      <c r="J32" s="47"/>
      <c r="K32" s="47"/>
      <c r="L32" s="47"/>
      <c r="M32" s="47"/>
      <c r="N32" s="47"/>
      <c r="O32" s="47"/>
      <c r="P32" s="46">
        <f t="shared" si="1"/>
        <v>0</v>
      </c>
      <c r="Q32" s="35">
        <f t="shared" si="35"/>
        <v>14</v>
      </c>
      <c r="R32" s="12"/>
      <c r="S32" s="12"/>
      <c r="T32" s="12"/>
      <c r="U32" s="12"/>
      <c r="V32" s="27"/>
      <c r="W32" s="12">
        <f t="shared" si="36"/>
        <v>14</v>
      </c>
      <c r="X32" s="12">
        <f t="shared" si="34"/>
        <v>14</v>
      </c>
      <c r="Y32" s="12"/>
      <c r="Z32" s="12"/>
      <c r="AA32" s="12"/>
      <c r="AB32" s="12">
        <f t="shared" si="38"/>
        <v>5250000</v>
      </c>
      <c r="AC32" s="12">
        <f t="shared" si="39"/>
        <v>462000</v>
      </c>
      <c r="AD32" s="12"/>
      <c r="AE32" s="12"/>
      <c r="AF32" s="12"/>
      <c r="AG32" s="12">
        <f t="shared" si="37"/>
        <v>5712000</v>
      </c>
    </row>
    <row r="33" spans="2:33">
      <c r="B33" s="13" t="s">
        <v>26</v>
      </c>
      <c r="C33" s="39">
        <v>0</v>
      </c>
      <c r="D33" s="39">
        <v>14</v>
      </c>
      <c r="E33" s="39"/>
      <c r="F33" s="37">
        <f t="shared" si="0"/>
        <v>14</v>
      </c>
      <c r="G33" s="47"/>
      <c r="H33" s="47"/>
      <c r="I33" s="47"/>
      <c r="J33" s="47"/>
      <c r="K33" s="47"/>
      <c r="L33" s="47"/>
      <c r="M33" s="47"/>
      <c r="N33" s="47"/>
      <c r="O33" s="47"/>
      <c r="P33" s="46">
        <f t="shared" si="1"/>
        <v>0</v>
      </c>
      <c r="Q33" s="35">
        <f t="shared" si="35"/>
        <v>14</v>
      </c>
      <c r="R33" s="12"/>
      <c r="S33" s="12"/>
      <c r="T33" s="12"/>
      <c r="U33" s="12"/>
      <c r="V33" s="27"/>
      <c r="W33" s="12">
        <f t="shared" si="36"/>
        <v>14</v>
      </c>
      <c r="X33" s="12">
        <f t="shared" si="34"/>
        <v>14</v>
      </c>
      <c r="Y33" s="12"/>
      <c r="Z33" s="12"/>
      <c r="AA33" s="12"/>
      <c r="AB33" s="12">
        <f t="shared" si="38"/>
        <v>5250000</v>
      </c>
      <c r="AC33" s="12">
        <f t="shared" si="39"/>
        <v>462000</v>
      </c>
      <c r="AD33" s="12"/>
      <c r="AE33" s="12">
        <f>W33*30000</f>
        <v>420000</v>
      </c>
      <c r="AF33" s="12">
        <f>W33*150000</f>
        <v>2100000</v>
      </c>
      <c r="AG33" s="12">
        <f t="shared" si="37"/>
        <v>5712000</v>
      </c>
    </row>
    <row r="34" spans="2:33">
      <c r="B34" s="13" t="s">
        <v>22</v>
      </c>
      <c r="C34" s="39"/>
      <c r="D34" s="39"/>
      <c r="E34" s="39"/>
      <c r="F34" s="37">
        <f t="shared" si="0"/>
        <v>0</v>
      </c>
      <c r="G34" s="47"/>
      <c r="H34" s="47"/>
      <c r="I34" s="47"/>
      <c r="J34" s="47"/>
      <c r="K34" s="47"/>
      <c r="L34" s="47"/>
      <c r="M34" s="47"/>
      <c r="N34" s="47"/>
      <c r="O34" s="47"/>
      <c r="P34" s="46">
        <f t="shared" si="1"/>
        <v>0</v>
      </c>
      <c r="Q34" s="35">
        <f t="shared" si="35"/>
        <v>0</v>
      </c>
      <c r="R34" s="12"/>
      <c r="S34" s="12"/>
      <c r="T34" s="12"/>
      <c r="U34" s="12"/>
      <c r="V34" s="27"/>
      <c r="W34" s="12">
        <f t="shared" si="36"/>
        <v>0</v>
      </c>
      <c r="X34" s="12">
        <f t="shared" si="34"/>
        <v>0</v>
      </c>
      <c r="Y34" s="12"/>
      <c r="Z34" s="12"/>
      <c r="AA34" s="12"/>
      <c r="AB34" s="12">
        <f>((X34*375000)+(Y34*375000)+(Z34*250000)+(AA34*125000))</f>
        <v>0</v>
      </c>
      <c r="AC34" s="12">
        <f t="shared" si="39"/>
        <v>0</v>
      </c>
      <c r="AD34" s="12"/>
      <c r="AE34" s="12"/>
      <c r="AF34" s="12"/>
      <c r="AG34" s="12">
        <f t="shared" si="37"/>
        <v>0</v>
      </c>
    </row>
    <row r="35" spans="2:33">
      <c r="B35" s="13" t="s">
        <v>45</v>
      </c>
      <c r="C35" s="39">
        <v>0</v>
      </c>
      <c r="D35" s="39">
        <v>0</v>
      </c>
      <c r="E35" s="39"/>
      <c r="F35" s="37">
        <f t="shared" si="0"/>
        <v>0</v>
      </c>
      <c r="G35" s="47"/>
      <c r="H35" s="47"/>
      <c r="I35" s="47"/>
      <c r="J35" s="47"/>
      <c r="K35" s="47"/>
      <c r="L35" s="47"/>
      <c r="M35" s="47"/>
      <c r="N35" s="47"/>
      <c r="O35" s="47"/>
      <c r="P35" s="46">
        <f t="shared" si="1"/>
        <v>0</v>
      </c>
      <c r="Q35" s="35">
        <f t="shared" si="35"/>
        <v>0</v>
      </c>
      <c r="R35" s="12"/>
      <c r="S35" s="12"/>
      <c r="T35" s="12"/>
      <c r="U35" s="12"/>
      <c r="V35" s="27"/>
      <c r="W35" s="12">
        <f t="shared" si="36"/>
        <v>0</v>
      </c>
      <c r="X35" s="12">
        <f t="shared" si="34"/>
        <v>0</v>
      </c>
      <c r="Y35" s="12"/>
      <c r="Z35" s="12"/>
      <c r="AA35" s="12"/>
      <c r="AB35" s="12">
        <f>((X35*375000)+(Y35*375000)+(Z35*250000)+(AA35*125000))</f>
        <v>0</v>
      </c>
      <c r="AC35" s="12">
        <f>W35*33000</f>
        <v>0</v>
      </c>
      <c r="AD35" s="12"/>
      <c r="AE35" s="12"/>
      <c r="AF35" s="12"/>
      <c r="AG35" s="12">
        <f t="shared" si="37"/>
        <v>0</v>
      </c>
    </row>
    <row r="36" spans="2:33">
      <c r="B36" s="25" t="s">
        <v>85</v>
      </c>
      <c r="C36" s="25">
        <v>0</v>
      </c>
      <c r="D36" s="25">
        <f>SUM(D30:D35)</f>
        <v>62</v>
      </c>
      <c r="E36" s="51"/>
      <c r="F36" s="25">
        <f>SUM(F30:F35)</f>
        <v>62</v>
      </c>
      <c r="G36" s="25">
        <f t="shared" ref="G36:AG36" si="40">SUM(G30:G35)</f>
        <v>0</v>
      </c>
      <c r="H36" s="25">
        <f t="shared" si="40"/>
        <v>10</v>
      </c>
      <c r="I36" s="25">
        <f t="shared" si="40"/>
        <v>0</v>
      </c>
      <c r="J36" s="25">
        <f t="shared" si="40"/>
        <v>0</v>
      </c>
      <c r="K36" s="25">
        <f t="shared" si="40"/>
        <v>20</v>
      </c>
      <c r="L36" s="25">
        <f t="shared" si="40"/>
        <v>0</v>
      </c>
      <c r="M36" s="25">
        <f t="shared" si="40"/>
        <v>0</v>
      </c>
      <c r="N36" s="25">
        <f t="shared" si="40"/>
        <v>10</v>
      </c>
      <c r="O36" s="25">
        <f t="shared" si="40"/>
        <v>0</v>
      </c>
      <c r="P36" s="25">
        <f t="shared" si="40"/>
        <v>40</v>
      </c>
      <c r="Q36" s="25">
        <f>SUM(Q30:Q35)</f>
        <v>102</v>
      </c>
      <c r="R36" s="25">
        <f t="shared" si="40"/>
        <v>0</v>
      </c>
      <c r="S36" s="25">
        <f t="shared" ref="S36" si="41">SUM(S30:S35)</f>
        <v>0</v>
      </c>
      <c r="T36" s="25">
        <f t="shared" ref="T36" si="42">SUM(T30:T35)</f>
        <v>0</v>
      </c>
      <c r="U36" s="25">
        <f t="shared" ref="U36" si="43">SUM(U30:U35)</f>
        <v>0</v>
      </c>
      <c r="V36" s="25">
        <f t="shared" ref="V36" si="44">SUM(V30:V35)</f>
        <v>0</v>
      </c>
      <c r="W36" s="25">
        <f t="shared" ref="W36:AA36" si="45">SUM(W30:W35)</f>
        <v>102</v>
      </c>
      <c r="X36" s="25">
        <f>SUM(X30:X35)</f>
        <v>62</v>
      </c>
      <c r="Y36" s="25">
        <f t="shared" si="45"/>
        <v>10</v>
      </c>
      <c r="Z36" s="25">
        <f t="shared" si="45"/>
        <v>20</v>
      </c>
      <c r="AA36" s="25">
        <f t="shared" si="45"/>
        <v>10</v>
      </c>
      <c r="AB36" s="25">
        <f t="shared" ref="AB36" si="46">SUM(AB30:AB35)</f>
        <v>33250000</v>
      </c>
      <c r="AC36" s="25">
        <f t="shared" ref="AC36" si="47">SUM(AC30:AC35)</f>
        <v>3366000</v>
      </c>
      <c r="AD36" s="25">
        <f t="shared" si="40"/>
        <v>370000</v>
      </c>
      <c r="AE36" s="25">
        <f t="shared" si="40"/>
        <v>420000</v>
      </c>
      <c r="AF36" s="25">
        <f t="shared" si="40"/>
        <v>2100000</v>
      </c>
      <c r="AG36" s="25">
        <f t="shared" si="40"/>
        <v>36986000</v>
      </c>
    </row>
    <row r="37" spans="2:33">
      <c r="B37" s="13" t="s">
        <v>40</v>
      </c>
      <c r="C37" s="39"/>
      <c r="D37" s="41"/>
      <c r="E37" s="41"/>
      <c r="F37" s="37"/>
      <c r="G37" s="47"/>
      <c r="H37" s="47"/>
      <c r="I37" s="47"/>
      <c r="J37" s="47"/>
      <c r="K37" s="47"/>
      <c r="L37" s="47"/>
      <c r="M37" s="47"/>
      <c r="N37" s="47"/>
      <c r="O37" s="47"/>
      <c r="P37" s="46"/>
      <c r="Q37" s="13"/>
      <c r="R37" s="12"/>
      <c r="S37" s="12"/>
      <c r="T37" s="12"/>
      <c r="U37" s="12"/>
      <c r="V37" s="33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</row>
    <row r="38" spans="2:33">
      <c r="B38" s="31" t="s">
        <v>63</v>
      </c>
      <c r="C38" s="40"/>
      <c r="D38" s="41"/>
      <c r="E38" s="41"/>
      <c r="F38" s="37"/>
      <c r="G38" s="47"/>
      <c r="H38" s="47"/>
      <c r="I38" s="47"/>
      <c r="J38" s="47"/>
      <c r="K38" s="47"/>
      <c r="L38" s="47"/>
      <c r="M38" s="47"/>
      <c r="N38" s="47"/>
      <c r="O38" s="47"/>
      <c r="P38" s="46">
        <f t="shared" si="1"/>
        <v>0</v>
      </c>
      <c r="Q38" s="35">
        <f t="shared" ref="Q38:Q44" si="48">F38+P38</f>
        <v>0</v>
      </c>
      <c r="R38" s="12"/>
      <c r="S38" s="12"/>
      <c r="T38" s="12"/>
      <c r="U38" s="12"/>
      <c r="V38" s="33"/>
      <c r="W38" s="12"/>
      <c r="X38" s="12">
        <f t="shared" ref="X38:X44" si="49">F38-R38-T38</f>
        <v>0</v>
      </c>
      <c r="Y38" s="12"/>
      <c r="Z38" s="12"/>
      <c r="AA38" s="12"/>
      <c r="AB38" s="12"/>
      <c r="AC38" s="12"/>
      <c r="AD38" s="12"/>
      <c r="AE38" s="12"/>
      <c r="AF38" s="12"/>
      <c r="AG38" s="12"/>
    </row>
    <row r="39" spans="2:33" ht="15.5">
      <c r="B39" s="13" t="s">
        <v>23</v>
      </c>
      <c r="C39" s="44">
        <v>0</v>
      </c>
      <c r="D39" s="44">
        <v>0</v>
      </c>
      <c r="E39" s="44"/>
      <c r="F39" s="37">
        <f t="shared" si="0"/>
        <v>0</v>
      </c>
      <c r="G39" s="47"/>
      <c r="H39" s="47"/>
      <c r="I39" s="47"/>
      <c r="J39" s="47"/>
      <c r="K39" s="47"/>
      <c r="L39" s="47"/>
      <c r="M39" s="47"/>
      <c r="N39" s="47"/>
      <c r="O39" s="47"/>
      <c r="P39" s="46">
        <f t="shared" si="1"/>
        <v>0</v>
      </c>
      <c r="Q39" s="35">
        <f t="shared" si="48"/>
        <v>0</v>
      </c>
      <c r="R39" s="12"/>
      <c r="S39" s="12"/>
      <c r="T39" s="12"/>
      <c r="U39" s="12"/>
      <c r="V39" s="34"/>
      <c r="W39" s="12">
        <f>Q39-SUM(R39:V39)</f>
        <v>0</v>
      </c>
      <c r="X39" s="12">
        <f t="shared" si="49"/>
        <v>0</v>
      </c>
      <c r="Y39" s="12"/>
      <c r="Z39" s="12"/>
      <c r="AA39" s="12"/>
      <c r="AB39" s="12">
        <f>((X39*375000)+(Y39*375000)+(Z39*250000)+(AA39*125000))</f>
        <v>0</v>
      </c>
      <c r="AC39" s="12">
        <f>W39*33000</f>
        <v>0</v>
      </c>
      <c r="AD39" s="12">
        <f>W39*5000</f>
        <v>0</v>
      </c>
      <c r="AE39" s="12"/>
      <c r="AF39" s="12"/>
      <c r="AG39" s="12">
        <f>SUM(AB39:AD39)</f>
        <v>0</v>
      </c>
    </row>
    <row r="40" spans="2:33" ht="15.5">
      <c r="B40" s="13" t="s">
        <v>24</v>
      </c>
      <c r="C40" s="44">
        <v>0</v>
      </c>
      <c r="D40" s="44">
        <v>0</v>
      </c>
      <c r="E40" s="44"/>
      <c r="F40" s="37">
        <f t="shared" si="0"/>
        <v>0</v>
      </c>
      <c r="G40" s="47"/>
      <c r="H40" s="47"/>
      <c r="I40" s="47"/>
      <c r="J40" s="47"/>
      <c r="K40" s="47"/>
      <c r="L40" s="47"/>
      <c r="M40" s="47"/>
      <c r="N40" s="47"/>
      <c r="O40" s="47"/>
      <c r="P40" s="46">
        <f t="shared" si="1"/>
        <v>0</v>
      </c>
      <c r="Q40" s="35">
        <f t="shared" si="48"/>
        <v>0</v>
      </c>
      <c r="R40" s="12"/>
      <c r="S40" s="12"/>
      <c r="T40" s="12"/>
      <c r="U40" s="12"/>
      <c r="V40" s="34"/>
      <c r="W40" s="12">
        <f t="shared" ref="W40:W44" si="50">Q40-SUM(R40:V40)</f>
        <v>0</v>
      </c>
      <c r="X40" s="12">
        <f t="shared" si="49"/>
        <v>0</v>
      </c>
      <c r="Y40" s="12"/>
      <c r="Z40" s="12"/>
      <c r="AA40" s="12"/>
      <c r="AB40" s="12">
        <f t="shared" ref="AB40:AB44" si="51">((X40*375000)+(Y40*375000)+(Z40*250000)+(AA40*125000))</f>
        <v>0</v>
      </c>
      <c r="AC40" s="12">
        <f t="shared" ref="AC40:AC44" si="52">W40*33000</f>
        <v>0</v>
      </c>
      <c r="AD40" s="12"/>
      <c r="AE40" s="12"/>
      <c r="AF40" s="12"/>
      <c r="AG40" s="12">
        <f t="shared" ref="AG40:AG44" si="53">SUM(AB40:AD40)</f>
        <v>0</v>
      </c>
    </row>
    <row r="41" spans="2:33" ht="15.5">
      <c r="B41" s="13" t="s">
        <v>25</v>
      </c>
      <c r="C41" s="44">
        <v>0</v>
      </c>
      <c r="D41" s="44">
        <v>0</v>
      </c>
      <c r="E41" s="44"/>
      <c r="F41" s="37">
        <f t="shared" si="0"/>
        <v>0</v>
      </c>
      <c r="G41" s="47"/>
      <c r="H41" s="47"/>
      <c r="I41" s="47"/>
      <c r="J41" s="47"/>
      <c r="K41" s="47"/>
      <c r="L41" s="47"/>
      <c r="M41" s="47"/>
      <c r="N41" s="47"/>
      <c r="O41" s="47"/>
      <c r="P41" s="46">
        <f t="shared" si="1"/>
        <v>0</v>
      </c>
      <c r="Q41" s="35">
        <f t="shared" si="48"/>
        <v>0</v>
      </c>
      <c r="R41" s="12"/>
      <c r="S41" s="12"/>
      <c r="T41" s="12"/>
      <c r="U41" s="12"/>
      <c r="V41" s="34"/>
      <c r="W41" s="12">
        <f t="shared" si="50"/>
        <v>0</v>
      </c>
      <c r="X41" s="12">
        <f t="shared" si="49"/>
        <v>0</v>
      </c>
      <c r="Y41" s="12"/>
      <c r="Z41" s="12"/>
      <c r="AA41" s="12"/>
      <c r="AB41" s="12">
        <f t="shared" si="51"/>
        <v>0</v>
      </c>
      <c r="AC41" s="12">
        <f t="shared" si="52"/>
        <v>0</v>
      </c>
      <c r="AD41" s="12"/>
      <c r="AE41" s="12"/>
      <c r="AF41" s="12"/>
      <c r="AG41" s="12">
        <f t="shared" si="53"/>
        <v>0</v>
      </c>
    </row>
    <row r="42" spans="2:33" ht="15.5">
      <c r="B42" s="13" t="s">
        <v>26</v>
      </c>
      <c r="C42" s="44">
        <v>0</v>
      </c>
      <c r="D42" s="44">
        <v>0</v>
      </c>
      <c r="E42" s="44"/>
      <c r="F42" s="37">
        <f t="shared" si="0"/>
        <v>0</v>
      </c>
      <c r="G42" s="47"/>
      <c r="H42" s="47"/>
      <c r="I42" s="47"/>
      <c r="J42" s="47"/>
      <c r="K42" s="47"/>
      <c r="L42" s="47"/>
      <c r="M42" s="47"/>
      <c r="N42" s="47"/>
      <c r="O42" s="47"/>
      <c r="P42" s="46">
        <f t="shared" si="1"/>
        <v>0</v>
      </c>
      <c r="Q42" s="35">
        <f t="shared" si="48"/>
        <v>0</v>
      </c>
      <c r="R42" s="12"/>
      <c r="S42" s="12"/>
      <c r="T42" s="12"/>
      <c r="U42" s="12"/>
      <c r="V42" s="34"/>
      <c r="W42" s="12">
        <f t="shared" si="50"/>
        <v>0</v>
      </c>
      <c r="X42" s="12">
        <f t="shared" si="49"/>
        <v>0</v>
      </c>
      <c r="Y42" s="12"/>
      <c r="Z42" s="12"/>
      <c r="AA42" s="12"/>
      <c r="AB42" s="12">
        <f t="shared" si="51"/>
        <v>0</v>
      </c>
      <c r="AC42" s="12">
        <f t="shared" si="52"/>
        <v>0</v>
      </c>
      <c r="AD42" s="12"/>
      <c r="AE42" s="12">
        <f>W42*30000</f>
        <v>0</v>
      </c>
      <c r="AF42" s="12">
        <f>W42*150000</f>
        <v>0</v>
      </c>
      <c r="AG42" s="12">
        <f t="shared" si="53"/>
        <v>0</v>
      </c>
    </row>
    <row r="43" spans="2:33" ht="15.5">
      <c r="B43" s="13" t="s">
        <v>22</v>
      </c>
      <c r="C43" s="44">
        <v>0</v>
      </c>
      <c r="D43" s="44">
        <v>0</v>
      </c>
      <c r="E43" s="44"/>
      <c r="F43" s="37">
        <f t="shared" si="0"/>
        <v>0</v>
      </c>
      <c r="G43" s="47"/>
      <c r="H43" s="47"/>
      <c r="I43" s="47"/>
      <c r="J43" s="47"/>
      <c r="K43" s="47"/>
      <c r="L43" s="47"/>
      <c r="M43" s="47"/>
      <c r="N43" s="47"/>
      <c r="O43" s="47"/>
      <c r="P43" s="46">
        <f t="shared" si="1"/>
        <v>0</v>
      </c>
      <c r="Q43" s="35">
        <f t="shared" si="48"/>
        <v>0</v>
      </c>
      <c r="R43" s="12"/>
      <c r="S43" s="12"/>
      <c r="T43" s="12"/>
      <c r="U43" s="12"/>
      <c r="V43" s="34"/>
      <c r="W43" s="12">
        <f t="shared" si="50"/>
        <v>0</v>
      </c>
      <c r="X43" s="12">
        <f t="shared" si="49"/>
        <v>0</v>
      </c>
      <c r="Y43" s="12"/>
      <c r="Z43" s="12"/>
      <c r="AA43" s="12"/>
      <c r="AB43" s="12">
        <f t="shared" si="51"/>
        <v>0</v>
      </c>
      <c r="AC43" s="12">
        <f t="shared" si="52"/>
        <v>0</v>
      </c>
      <c r="AD43" s="12"/>
      <c r="AE43" s="12"/>
      <c r="AF43" s="12"/>
      <c r="AG43" s="12">
        <f t="shared" si="53"/>
        <v>0</v>
      </c>
    </row>
    <row r="44" spans="2:33" ht="15.5">
      <c r="B44" s="13" t="s">
        <v>45</v>
      </c>
      <c r="C44" s="44">
        <v>0</v>
      </c>
      <c r="D44" s="44">
        <v>0</v>
      </c>
      <c r="E44" s="44"/>
      <c r="F44" s="37">
        <f t="shared" si="0"/>
        <v>0</v>
      </c>
      <c r="G44" s="47"/>
      <c r="H44" s="47"/>
      <c r="I44" s="47"/>
      <c r="J44" s="47"/>
      <c r="K44" s="47"/>
      <c r="L44" s="47"/>
      <c r="M44" s="47"/>
      <c r="N44" s="47"/>
      <c r="O44" s="47"/>
      <c r="P44" s="46">
        <f t="shared" si="1"/>
        <v>0</v>
      </c>
      <c r="Q44" s="35">
        <f t="shared" si="48"/>
        <v>0</v>
      </c>
      <c r="R44" s="12"/>
      <c r="S44" s="12"/>
      <c r="T44" s="12"/>
      <c r="U44" s="12"/>
      <c r="V44" s="34"/>
      <c r="W44" s="12">
        <f t="shared" si="50"/>
        <v>0</v>
      </c>
      <c r="X44" s="12">
        <f t="shared" si="49"/>
        <v>0</v>
      </c>
      <c r="Y44" s="12"/>
      <c r="Z44" s="12"/>
      <c r="AA44" s="12"/>
      <c r="AB44" s="12">
        <f t="shared" si="51"/>
        <v>0</v>
      </c>
      <c r="AC44" s="12">
        <f t="shared" si="52"/>
        <v>0</v>
      </c>
      <c r="AD44" s="12"/>
      <c r="AE44" s="12"/>
      <c r="AF44" s="12"/>
      <c r="AG44" s="12">
        <f t="shared" si="53"/>
        <v>0</v>
      </c>
    </row>
    <row r="45" spans="2:33" ht="15.5">
      <c r="B45" s="57" t="s">
        <v>46</v>
      </c>
      <c r="C45" s="58"/>
      <c r="D45" s="59"/>
      <c r="E45" s="59"/>
      <c r="F45" s="57">
        <f>SUM(F39:F44)</f>
        <v>0</v>
      </c>
      <c r="G45" s="57">
        <f t="shared" ref="G45:AG45" si="54">SUM(G39:G44)</f>
        <v>0</v>
      </c>
      <c r="H45" s="57">
        <f t="shared" si="54"/>
        <v>0</v>
      </c>
      <c r="I45" s="57">
        <f t="shared" si="54"/>
        <v>0</v>
      </c>
      <c r="J45" s="57">
        <f t="shared" si="54"/>
        <v>0</v>
      </c>
      <c r="K45" s="57">
        <f t="shared" si="54"/>
        <v>0</v>
      </c>
      <c r="L45" s="57">
        <f t="shared" si="54"/>
        <v>0</v>
      </c>
      <c r="M45" s="57">
        <f t="shared" si="54"/>
        <v>0</v>
      </c>
      <c r="N45" s="57">
        <f t="shared" si="54"/>
        <v>0</v>
      </c>
      <c r="O45" s="57">
        <f t="shared" si="54"/>
        <v>0</v>
      </c>
      <c r="P45" s="57">
        <f>SUM(P39:P44)</f>
        <v>0</v>
      </c>
      <c r="Q45" s="57">
        <f t="shared" si="54"/>
        <v>0</v>
      </c>
      <c r="R45" s="57">
        <f t="shared" si="54"/>
        <v>0</v>
      </c>
      <c r="S45" s="57">
        <f t="shared" ref="S45" si="55">SUM(S39:S44)</f>
        <v>0</v>
      </c>
      <c r="T45" s="57">
        <f t="shared" ref="T45" si="56">SUM(T39:T44)</f>
        <v>0</v>
      </c>
      <c r="U45" s="57">
        <f t="shared" ref="U45" si="57">SUM(U39:U44)</f>
        <v>0</v>
      </c>
      <c r="V45" s="57">
        <f t="shared" ref="V45" si="58">SUM(V39:V44)</f>
        <v>0</v>
      </c>
      <c r="W45" s="57">
        <f t="shared" ref="W45:AA45" si="59">SUM(W39:W44)</f>
        <v>0</v>
      </c>
      <c r="X45" s="57">
        <f t="shared" si="59"/>
        <v>0</v>
      </c>
      <c r="Y45" s="57">
        <f t="shared" si="59"/>
        <v>0</v>
      </c>
      <c r="Z45" s="57">
        <f t="shared" si="59"/>
        <v>0</v>
      </c>
      <c r="AA45" s="57">
        <f t="shared" si="59"/>
        <v>0</v>
      </c>
      <c r="AB45" s="57">
        <f t="shared" ref="AB45" si="60">SUM(AB39:AB44)</f>
        <v>0</v>
      </c>
      <c r="AC45" s="57">
        <f t="shared" ref="AC45" si="61">SUM(AC39:AC44)</f>
        <v>0</v>
      </c>
      <c r="AD45" s="57">
        <f t="shared" si="54"/>
        <v>0</v>
      </c>
      <c r="AE45" s="57">
        <f t="shared" si="54"/>
        <v>0</v>
      </c>
      <c r="AF45" s="57">
        <f t="shared" si="54"/>
        <v>0</v>
      </c>
      <c r="AG45" s="57">
        <f t="shared" si="54"/>
        <v>0</v>
      </c>
    </row>
    <row r="46" spans="2:33">
      <c r="B46" s="31" t="s">
        <v>64</v>
      </c>
      <c r="C46" s="40"/>
      <c r="D46" s="41"/>
      <c r="E46" s="41"/>
      <c r="F46" s="37"/>
      <c r="G46" s="47"/>
      <c r="H46" s="47"/>
      <c r="I46" s="47"/>
      <c r="J46" s="47"/>
      <c r="K46" s="47"/>
      <c r="L46" s="47"/>
      <c r="M46" s="47"/>
      <c r="N46" s="47"/>
      <c r="O46" s="47"/>
      <c r="P46" s="46"/>
      <c r="Q46" s="35"/>
      <c r="R46" s="12"/>
      <c r="S46" s="12"/>
      <c r="T46" s="12"/>
      <c r="U46" s="12"/>
      <c r="V46" s="33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</row>
    <row r="47" spans="2:33" ht="15.5">
      <c r="B47" s="13" t="s">
        <v>23</v>
      </c>
      <c r="C47" s="44">
        <v>38</v>
      </c>
      <c r="D47" s="44">
        <v>63</v>
      </c>
      <c r="E47" s="44">
        <v>140</v>
      </c>
      <c r="F47" s="37">
        <f t="shared" si="0"/>
        <v>241</v>
      </c>
      <c r="G47" s="47">
        <v>10</v>
      </c>
      <c r="H47" s="47">
        <v>20</v>
      </c>
      <c r="I47" s="47">
        <v>60</v>
      </c>
      <c r="J47" s="47">
        <v>10</v>
      </c>
      <c r="K47" s="47">
        <v>20</v>
      </c>
      <c r="L47" s="47">
        <v>40</v>
      </c>
      <c r="M47" s="47">
        <v>10</v>
      </c>
      <c r="N47" s="47">
        <v>20</v>
      </c>
      <c r="O47" s="47">
        <v>60</v>
      </c>
      <c r="P47" s="46">
        <f t="shared" si="1"/>
        <v>250</v>
      </c>
      <c r="Q47" s="35">
        <f t="shared" ref="Q47:Q52" si="62">F47+P47</f>
        <v>491</v>
      </c>
      <c r="R47" s="12"/>
      <c r="S47" s="12"/>
      <c r="T47" s="12">
        <v>25</v>
      </c>
      <c r="U47" s="12"/>
      <c r="V47" s="34"/>
      <c r="W47" s="12">
        <f>Q47-SUM(R47:V47)</f>
        <v>466</v>
      </c>
      <c r="X47" s="12">
        <f>F47-R47-T47</f>
        <v>216</v>
      </c>
      <c r="Y47" s="12">
        <v>90</v>
      </c>
      <c r="Z47" s="12">
        <v>70</v>
      </c>
      <c r="AA47" s="12">
        <v>90</v>
      </c>
      <c r="AB47" s="12">
        <f>(((E47*330000)+(I47*330000)+(L47*220000)+(O47*110000))+((C47-T47)*500000)+(D47*375000)+(G47*500000)+(H47*375000)+((J47-U47)*375000)+(K47*250000)+(M47*250000)+(N47*125000))</f>
        <v>137775000</v>
      </c>
      <c r="AC47" s="12">
        <f>W47*33000</f>
        <v>15378000</v>
      </c>
      <c r="AD47" s="12">
        <f>W47*5000</f>
        <v>2330000</v>
      </c>
      <c r="AE47" s="12"/>
      <c r="AF47" s="12"/>
      <c r="AG47" s="12">
        <f t="shared" ref="AG47:AG52" si="63">SUM(AB47:AD47)</f>
        <v>155483000</v>
      </c>
    </row>
    <row r="48" spans="2:33" ht="15.5">
      <c r="B48" s="13" t="s">
        <v>24</v>
      </c>
      <c r="C48" s="44">
        <v>98</v>
      </c>
      <c r="D48" s="44">
        <v>17</v>
      </c>
      <c r="E48" s="44"/>
      <c r="F48" s="37">
        <f t="shared" si="0"/>
        <v>115</v>
      </c>
      <c r="G48" s="47">
        <v>0</v>
      </c>
      <c r="H48" s="47">
        <v>0</v>
      </c>
      <c r="I48" s="47">
        <v>0</v>
      </c>
      <c r="J48" s="47">
        <v>0</v>
      </c>
      <c r="K48" s="47">
        <v>0</v>
      </c>
      <c r="L48" s="47">
        <v>0</v>
      </c>
      <c r="M48" s="47">
        <v>0</v>
      </c>
      <c r="N48" s="47">
        <v>0</v>
      </c>
      <c r="O48" s="47">
        <v>0</v>
      </c>
      <c r="P48" s="46">
        <f t="shared" si="1"/>
        <v>0</v>
      </c>
      <c r="Q48" s="35">
        <f t="shared" si="62"/>
        <v>115</v>
      </c>
      <c r="R48" s="12"/>
      <c r="S48" s="12"/>
      <c r="T48" s="12"/>
      <c r="U48" s="12"/>
      <c r="V48" s="34"/>
      <c r="W48" s="12">
        <f t="shared" ref="W48:W52" si="64">Q48-SUM(R48:V48)</f>
        <v>115</v>
      </c>
      <c r="X48" s="12">
        <f t="shared" ref="X48:X52" si="65">F48-R48-T48</f>
        <v>115</v>
      </c>
      <c r="Y48" s="12">
        <f>W48-X48</f>
        <v>0</v>
      </c>
      <c r="Z48" s="12"/>
      <c r="AA48" s="12"/>
      <c r="AB48" s="12">
        <f t="shared" ref="AB48:AB51" si="66">(((E48*330000)+(I48*330000)+(L48*220000)+(O48*110000))+((C48-T48)*500000)+(D48*375000)+(G48*500000)+(H48*375000)+((J48-U48)*375000)+(K48*250000)+(M48*250000)+(N48*125000))</f>
        <v>55375000</v>
      </c>
      <c r="AC48" s="12">
        <f t="shared" ref="AC48:AC52" si="67">W48*33000</f>
        <v>3795000</v>
      </c>
      <c r="AD48" s="12"/>
      <c r="AE48" s="12"/>
      <c r="AF48" s="12"/>
      <c r="AG48" s="12">
        <f t="shared" si="63"/>
        <v>59170000</v>
      </c>
    </row>
    <row r="49" spans="2:33" ht="15.5">
      <c r="B49" s="13" t="s">
        <v>25</v>
      </c>
      <c r="C49" s="44"/>
      <c r="D49" s="44">
        <v>16</v>
      </c>
      <c r="E49" s="44">
        <v>5</v>
      </c>
      <c r="F49" s="37">
        <f t="shared" si="0"/>
        <v>21</v>
      </c>
      <c r="G49" s="47">
        <v>0</v>
      </c>
      <c r="H49" s="47">
        <v>10</v>
      </c>
      <c r="I49" s="47">
        <v>20</v>
      </c>
      <c r="J49" s="47">
        <v>0</v>
      </c>
      <c r="K49" s="47">
        <v>10</v>
      </c>
      <c r="L49" s="47">
        <v>20</v>
      </c>
      <c r="M49" s="47">
        <v>0</v>
      </c>
      <c r="N49" s="47"/>
      <c r="O49" s="47">
        <v>30</v>
      </c>
      <c r="P49" s="46">
        <f t="shared" si="1"/>
        <v>90</v>
      </c>
      <c r="Q49" s="35">
        <f t="shared" si="62"/>
        <v>111</v>
      </c>
      <c r="R49" s="12"/>
      <c r="S49" s="12"/>
      <c r="T49" s="12"/>
      <c r="U49" s="12"/>
      <c r="V49" s="34"/>
      <c r="W49" s="12">
        <f t="shared" si="64"/>
        <v>111</v>
      </c>
      <c r="X49" s="12">
        <f t="shared" si="65"/>
        <v>21</v>
      </c>
      <c r="Y49" s="12">
        <v>30</v>
      </c>
      <c r="Z49" s="12">
        <v>30</v>
      </c>
      <c r="AA49" s="12">
        <v>30</v>
      </c>
      <c r="AB49" s="12">
        <f t="shared" si="66"/>
        <v>28200000</v>
      </c>
      <c r="AC49" s="12">
        <f t="shared" si="67"/>
        <v>3663000</v>
      </c>
      <c r="AD49" s="12">
        <f>(Y49+Z49+AA49)*5000</f>
        <v>450000</v>
      </c>
      <c r="AE49" s="12"/>
      <c r="AF49" s="12"/>
      <c r="AG49" s="12">
        <f t="shared" si="63"/>
        <v>32313000</v>
      </c>
    </row>
    <row r="50" spans="2:33" ht="15.5">
      <c r="B50" s="13" t="s">
        <v>26</v>
      </c>
      <c r="C50" s="44"/>
      <c r="D50" s="44">
        <v>12</v>
      </c>
      <c r="E50" s="44">
        <v>8</v>
      </c>
      <c r="F50" s="37">
        <f t="shared" si="0"/>
        <v>20</v>
      </c>
      <c r="G50" s="47">
        <v>0</v>
      </c>
      <c r="H50" s="47">
        <v>0</v>
      </c>
      <c r="I50" s="47">
        <v>0</v>
      </c>
      <c r="J50" s="47">
        <v>0</v>
      </c>
      <c r="K50" s="47">
        <v>0</v>
      </c>
      <c r="L50" s="47">
        <v>0</v>
      </c>
      <c r="M50" s="47">
        <v>0</v>
      </c>
      <c r="N50" s="47">
        <v>0</v>
      </c>
      <c r="O50" s="47">
        <v>0</v>
      </c>
      <c r="P50" s="46">
        <f t="shared" si="1"/>
        <v>0</v>
      </c>
      <c r="Q50" s="35">
        <f t="shared" si="62"/>
        <v>20</v>
      </c>
      <c r="R50" s="12"/>
      <c r="S50" s="12"/>
      <c r="T50" s="12"/>
      <c r="U50" s="12"/>
      <c r="V50" s="34"/>
      <c r="W50" s="12">
        <f t="shared" si="64"/>
        <v>20</v>
      </c>
      <c r="X50" s="12">
        <f t="shared" si="65"/>
        <v>20</v>
      </c>
      <c r="Y50" s="12"/>
      <c r="Z50" s="12"/>
      <c r="AA50" s="12"/>
      <c r="AB50" s="12">
        <f t="shared" si="66"/>
        <v>7140000</v>
      </c>
      <c r="AC50" s="12">
        <f t="shared" si="67"/>
        <v>660000</v>
      </c>
      <c r="AD50" s="12"/>
      <c r="AE50" s="12">
        <f>W50*30000</f>
        <v>600000</v>
      </c>
      <c r="AF50" s="12"/>
      <c r="AG50" s="12">
        <f t="shared" si="63"/>
        <v>7800000</v>
      </c>
    </row>
    <row r="51" spans="2:33" s="78" customFormat="1" ht="15.5">
      <c r="B51" s="22" t="s">
        <v>22</v>
      </c>
      <c r="C51" s="76"/>
      <c r="D51" s="76">
        <v>12</v>
      </c>
      <c r="E51" s="76">
        <v>8</v>
      </c>
      <c r="F51" s="43">
        <f t="shared" si="0"/>
        <v>20</v>
      </c>
      <c r="G51" s="64">
        <v>0</v>
      </c>
      <c r="H51" s="64">
        <v>0</v>
      </c>
      <c r="I51" s="64">
        <v>0</v>
      </c>
      <c r="J51" s="64">
        <v>0</v>
      </c>
      <c r="K51" s="64">
        <v>0</v>
      </c>
      <c r="L51" s="64">
        <v>0</v>
      </c>
      <c r="M51" s="64">
        <v>0</v>
      </c>
      <c r="N51" s="64">
        <v>0</v>
      </c>
      <c r="O51" s="64">
        <v>0</v>
      </c>
      <c r="P51" s="64">
        <f t="shared" si="1"/>
        <v>0</v>
      </c>
      <c r="Q51" s="22">
        <f t="shared" si="62"/>
        <v>20</v>
      </c>
      <c r="R51" s="22"/>
      <c r="S51" s="22"/>
      <c r="T51" s="22"/>
      <c r="U51" s="22"/>
      <c r="V51" s="77"/>
      <c r="W51" s="22">
        <f t="shared" si="64"/>
        <v>20</v>
      </c>
      <c r="X51" s="22">
        <f t="shared" si="65"/>
        <v>20</v>
      </c>
      <c r="Y51" s="22"/>
      <c r="Z51" s="22"/>
      <c r="AA51" s="22"/>
      <c r="AB51" s="22">
        <f t="shared" si="66"/>
        <v>7140000</v>
      </c>
      <c r="AC51" s="22">
        <f t="shared" si="67"/>
        <v>660000</v>
      </c>
      <c r="AD51" s="22"/>
      <c r="AE51" s="22"/>
      <c r="AF51" s="22">
        <f>W51*150000</f>
        <v>3000000</v>
      </c>
      <c r="AG51" s="12">
        <f t="shared" si="63"/>
        <v>7800000</v>
      </c>
    </row>
    <row r="52" spans="2:33" ht="15.5">
      <c r="B52" s="13" t="s">
        <v>45</v>
      </c>
      <c r="C52" s="44"/>
      <c r="D52" s="44"/>
      <c r="E52" s="44"/>
      <c r="F52" s="37">
        <f t="shared" si="0"/>
        <v>0</v>
      </c>
      <c r="G52" s="47">
        <v>0</v>
      </c>
      <c r="H52" s="47">
        <v>0</v>
      </c>
      <c r="I52" s="47">
        <v>0</v>
      </c>
      <c r="J52" s="47">
        <v>0</v>
      </c>
      <c r="K52" s="47">
        <v>0</v>
      </c>
      <c r="L52" s="47">
        <v>0</v>
      </c>
      <c r="M52" s="47">
        <v>0</v>
      </c>
      <c r="N52" s="47">
        <v>0</v>
      </c>
      <c r="O52" s="47">
        <v>0</v>
      </c>
      <c r="P52" s="46">
        <f t="shared" si="1"/>
        <v>0</v>
      </c>
      <c r="Q52" s="35">
        <f t="shared" si="62"/>
        <v>0</v>
      </c>
      <c r="R52" s="12"/>
      <c r="S52" s="12"/>
      <c r="T52" s="12"/>
      <c r="U52" s="12"/>
      <c r="V52" s="34"/>
      <c r="W52" s="12">
        <f t="shared" si="64"/>
        <v>0</v>
      </c>
      <c r="X52" s="12">
        <f t="shared" si="65"/>
        <v>0</v>
      </c>
      <c r="Y52" s="12"/>
      <c r="Z52" s="12"/>
      <c r="AA52" s="12"/>
      <c r="AB52" s="12">
        <f>(((E52*330000)+(I52*330000)+(L52*220000)+(O52*110000))+((C52-T52)*500000)+(D52*375000)+(G52*500000)+(H52*375000)+((J52-U52)*375000)+(K52*250000)+(M52*250000)+(N52*125000))</f>
        <v>0</v>
      </c>
      <c r="AC52" s="12">
        <f t="shared" si="67"/>
        <v>0</v>
      </c>
      <c r="AD52" s="12"/>
      <c r="AE52" s="12"/>
      <c r="AF52" s="12"/>
      <c r="AG52" s="12">
        <f t="shared" si="63"/>
        <v>0</v>
      </c>
    </row>
    <row r="53" spans="2:33" ht="15.5">
      <c r="B53" s="57" t="s">
        <v>46</v>
      </c>
      <c r="C53" s="59">
        <v>136</v>
      </c>
      <c r="D53" s="59">
        <v>120</v>
      </c>
      <c r="E53" s="59"/>
      <c r="F53" s="57">
        <f>SUM(F47:F52)</f>
        <v>417</v>
      </c>
      <c r="G53" s="57">
        <f t="shared" ref="G53:AG53" si="68">SUM(G47:G52)</f>
        <v>10</v>
      </c>
      <c r="H53" s="57">
        <f t="shared" si="68"/>
        <v>30</v>
      </c>
      <c r="I53" s="57">
        <f t="shared" si="68"/>
        <v>80</v>
      </c>
      <c r="J53" s="57">
        <f t="shared" si="68"/>
        <v>10</v>
      </c>
      <c r="K53" s="57">
        <f t="shared" si="68"/>
        <v>30</v>
      </c>
      <c r="L53" s="57">
        <f t="shared" si="68"/>
        <v>60</v>
      </c>
      <c r="M53" s="57">
        <f t="shared" si="68"/>
        <v>10</v>
      </c>
      <c r="N53" s="57">
        <f t="shared" si="68"/>
        <v>20</v>
      </c>
      <c r="O53" s="57">
        <f t="shared" si="68"/>
        <v>90</v>
      </c>
      <c r="P53" s="57">
        <f>SUM(P47:P52)</f>
        <v>340</v>
      </c>
      <c r="Q53" s="57">
        <f t="shared" si="68"/>
        <v>757</v>
      </c>
      <c r="R53" s="57">
        <f t="shared" si="68"/>
        <v>0</v>
      </c>
      <c r="S53" s="57">
        <f t="shared" ref="S53" si="69">SUM(S47:S52)</f>
        <v>0</v>
      </c>
      <c r="T53" s="57">
        <f t="shared" ref="T53" si="70">SUM(T47:T52)</f>
        <v>25</v>
      </c>
      <c r="U53" s="57">
        <f t="shared" ref="U53" si="71">SUM(U47:U52)</f>
        <v>0</v>
      </c>
      <c r="V53" s="57">
        <f t="shared" ref="V53" si="72">SUM(V47:V52)</f>
        <v>0</v>
      </c>
      <c r="W53" s="57">
        <f t="shared" ref="W53" si="73">SUM(W47:W52)</f>
        <v>732</v>
      </c>
      <c r="X53" s="57">
        <f>SUM(X47:X52)</f>
        <v>392</v>
      </c>
      <c r="Y53" s="57">
        <f>SUM(Y47:Y52)</f>
        <v>120</v>
      </c>
      <c r="Z53" s="57">
        <f>SUM(Z47:Z52)</f>
        <v>100</v>
      </c>
      <c r="AA53" s="57">
        <f>SUM(AA47:AA52)</f>
        <v>120</v>
      </c>
      <c r="AB53" s="57">
        <f t="shared" ref="AB53" si="74">SUM(AB47:AB52)</f>
        <v>235630000</v>
      </c>
      <c r="AC53" s="57">
        <f t="shared" si="68"/>
        <v>24156000</v>
      </c>
      <c r="AD53" s="57">
        <f t="shared" si="68"/>
        <v>2780000</v>
      </c>
      <c r="AE53" s="57">
        <f t="shared" si="68"/>
        <v>600000</v>
      </c>
      <c r="AF53" s="57">
        <f t="shared" si="68"/>
        <v>3000000</v>
      </c>
      <c r="AG53" s="57">
        <f t="shared" si="68"/>
        <v>262566000</v>
      </c>
    </row>
    <row r="54" spans="2:33">
      <c r="B54" s="31" t="s">
        <v>65</v>
      </c>
      <c r="C54" s="40"/>
      <c r="D54" s="41"/>
      <c r="E54" s="41"/>
      <c r="F54" s="37"/>
      <c r="G54" s="47"/>
      <c r="H54" s="47"/>
      <c r="I54" s="47"/>
      <c r="J54" s="47"/>
      <c r="K54" s="47"/>
      <c r="L54" s="47"/>
      <c r="M54" s="47"/>
      <c r="N54" s="47"/>
      <c r="O54" s="47"/>
      <c r="P54" s="46"/>
      <c r="Q54" s="35"/>
      <c r="R54" s="12"/>
      <c r="S54" s="12"/>
      <c r="T54" s="12"/>
      <c r="U54" s="12"/>
      <c r="V54" s="33"/>
      <c r="W54" s="12"/>
      <c r="X54" s="12">
        <f t="shared" ref="X54:X60" si="75">F54-R54-T54</f>
        <v>0</v>
      </c>
      <c r="Y54" s="12"/>
      <c r="Z54" s="12"/>
      <c r="AA54" s="12"/>
      <c r="AB54" s="12"/>
      <c r="AC54" s="12"/>
      <c r="AD54" s="12"/>
      <c r="AE54" s="12"/>
      <c r="AF54" s="12"/>
      <c r="AG54" s="12"/>
    </row>
    <row r="55" spans="2:33" ht="15.5">
      <c r="B55" s="13" t="s">
        <v>23</v>
      </c>
      <c r="C55" s="44">
        <v>54</v>
      </c>
      <c r="D55" s="44">
        <v>16</v>
      </c>
      <c r="E55" s="44">
        <v>137</v>
      </c>
      <c r="F55" s="37">
        <f t="shared" si="0"/>
        <v>207</v>
      </c>
      <c r="G55" s="47"/>
      <c r="H55" s="47">
        <v>20</v>
      </c>
      <c r="I55" s="47">
        <v>40</v>
      </c>
      <c r="J55" s="47">
        <v>10</v>
      </c>
      <c r="K55" s="47">
        <v>10</v>
      </c>
      <c r="L55" s="47">
        <v>40</v>
      </c>
      <c r="M55" s="47"/>
      <c r="N55" s="47">
        <v>20</v>
      </c>
      <c r="O55" s="47">
        <v>40</v>
      </c>
      <c r="P55" s="46">
        <f t="shared" si="1"/>
        <v>180</v>
      </c>
      <c r="Q55" s="35">
        <f t="shared" ref="Q55:Q60" si="76">F55+P55</f>
        <v>387</v>
      </c>
      <c r="R55" s="12"/>
      <c r="S55" s="12"/>
      <c r="T55" s="12"/>
      <c r="U55" s="12"/>
      <c r="V55" s="34"/>
      <c r="W55" s="12">
        <f t="shared" ref="W55:W60" si="77">Q55-SUM(R55:V55)</f>
        <v>387</v>
      </c>
      <c r="X55" s="12">
        <f t="shared" si="75"/>
        <v>207</v>
      </c>
      <c r="Y55" s="12">
        <v>60</v>
      </c>
      <c r="Z55" s="12">
        <v>60</v>
      </c>
      <c r="AA55" s="12">
        <v>60</v>
      </c>
      <c r="AB55" s="12">
        <f>(((E55*330000)+(I55*330000)+(L55*220000)+(O55*110000))+((C55-T55)*500000)+(D55*375000)+(G55*500000)+(H55*375000)+((J55-U55)*375000)+(K55*250000)+(M55*250000)+(N55*125000))</f>
        <v>120860000</v>
      </c>
      <c r="AC55" s="12">
        <f>W55*33000</f>
        <v>12771000</v>
      </c>
      <c r="AD55" s="12">
        <f>W55*5000</f>
        <v>1935000</v>
      </c>
      <c r="AE55" s="12"/>
      <c r="AF55" s="12"/>
      <c r="AG55" s="12">
        <f t="shared" ref="AG55:AG59" si="78">SUM(AB55:AD55)</f>
        <v>135566000</v>
      </c>
    </row>
    <row r="56" spans="2:33" ht="15.5">
      <c r="B56" s="13" t="s">
        <v>24</v>
      </c>
      <c r="C56" s="44">
        <v>113</v>
      </c>
      <c r="D56" s="44">
        <v>48</v>
      </c>
      <c r="E56" s="44"/>
      <c r="F56" s="37">
        <f t="shared" si="0"/>
        <v>161</v>
      </c>
      <c r="G56" s="47"/>
      <c r="H56" s="47"/>
      <c r="I56" s="47"/>
      <c r="J56" s="47"/>
      <c r="K56" s="47"/>
      <c r="L56" s="47"/>
      <c r="M56" s="47"/>
      <c r="N56" s="47"/>
      <c r="O56" s="47"/>
      <c r="P56" s="46">
        <f t="shared" si="1"/>
        <v>0</v>
      </c>
      <c r="Q56" s="35">
        <f t="shared" si="76"/>
        <v>161</v>
      </c>
      <c r="R56" s="12"/>
      <c r="S56" s="12"/>
      <c r="T56" s="12">
        <v>112</v>
      </c>
      <c r="U56" s="12"/>
      <c r="V56" s="34"/>
      <c r="W56" s="12">
        <f t="shared" si="77"/>
        <v>49</v>
      </c>
      <c r="X56" s="12">
        <f t="shared" si="75"/>
        <v>49</v>
      </c>
      <c r="Y56" s="12"/>
      <c r="Z56" s="12"/>
      <c r="AA56" s="12"/>
      <c r="AB56" s="12">
        <f t="shared" ref="AB56:AB60" si="79">(((E56*330000)+(I56*330000)+(L56*220000)+(O56*110000))+((C56-T56)*500000)+(D56*375000)+(G56*500000)+(H56*375000)+((J56-U56)*375000)+(K56*250000)+(M56*250000)+(N56*125000))</f>
        <v>18500000</v>
      </c>
      <c r="AC56" s="12">
        <f t="shared" ref="AC56:AC60" si="80">W56*33000</f>
        <v>1617000</v>
      </c>
      <c r="AD56" s="12"/>
      <c r="AE56" s="12"/>
      <c r="AF56" s="12"/>
      <c r="AG56" s="12">
        <f t="shared" si="78"/>
        <v>20117000</v>
      </c>
    </row>
    <row r="57" spans="2:33" ht="15.5">
      <c r="B57" s="13" t="s">
        <v>25</v>
      </c>
      <c r="C57" s="44"/>
      <c r="D57" s="44">
        <v>56</v>
      </c>
      <c r="E57" s="44">
        <v>69</v>
      </c>
      <c r="F57" s="37">
        <f t="shared" si="0"/>
        <v>125</v>
      </c>
      <c r="G57" s="47"/>
      <c r="H57" s="47">
        <v>10</v>
      </c>
      <c r="I57" s="47">
        <v>20</v>
      </c>
      <c r="J57" s="47"/>
      <c r="K57" s="47">
        <v>15</v>
      </c>
      <c r="L57" s="47">
        <v>20</v>
      </c>
      <c r="M57" s="47"/>
      <c r="N57" s="47">
        <v>20</v>
      </c>
      <c r="O57" s="47">
        <v>20</v>
      </c>
      <c r="P57" s="46">
        <f t="shared" si="1"/>
        <v>105</v>
      </c>
      <c r="Q57" s="35">
        <f t="shared" si="76"/>
        <v>230</v>
      </c>
      <c r="R57" s="12"/>
      <c r="S57" s="12"/>
      <c r="T57" s="12"/>
      <c r="U57" s="12"/>
      <c r="V57" s="34"/>
      <c r="W57" s="12">
        <f t="shared" si="77"/>
        <v>230</v>
      </c>
      <c r="X57" s="12">
        <f t="shared" si="75"/>
        <v>125</v>
      </c>
      <c r="Y57" s="12">
        <v>30</v>
      </c>
      <c r="Z57" s="12">
        <v>35</v>
      </c>
      <c r="AA57" s="12">
        <v>40</v>
      </c>
      <c r="AB57" s="12">
        <f t="shared" si="79"/>
        <v>66970000</v>
      </c>
      <c r="AC57" s="12">
        <f t="shared" si="80"/>
        <v>7590000</v>
      </c>
      <c r="AD57" s="12">
        <f>(Y57+Z57+AA57)*5000</f>
        <v>525000</v>
      </c>
      <c r="AE57" s="12"/>
      <c r="AF57" s="12"/>
      <c r="AG57" s="12">
        <f t="shared" si="78"/>
        <v>75085000</v>
      </c>
    </row>
    <row r="58" spans="2:33" ht="15.5">
      <c r="B58" s="13" t="s">
        <v>26</v>
      </c>
      <c r="C58" s="44"/>
      <c r="D58" s="44">
        <v>33</v>
      </c>
      <c r="E58" s="44">
        <v>47</v>
      </c>
      <c r="F58" s="37">
        <f t="shared" si="0"/>
        <v>80</v>
      </c>
      <c r="G58" s="47"/>
      <c r="H58" s="47"/>
      <c r="I58" s="47"/>
      <c r="J58" s="47"/>
      <c r="K58" s="47"/>
      <c r="L58" s="47"/>
      <c r="M58" s="47"/>
      <c r="N58" s="47"/>
      <c r="O58" s="47"/>
      <c r="P58" s="46">
        <f t="shared" si="1"/>
        <v>0</v>
      </c>
      <c r="Q58" s="35">
        <f t="shared" si="76"/>
        <v>80</v>
      </c>
      <c r="R58" s="12"/>
      <c r="S58" s="12"/>
      <c r="T58" s="12"/>
      <c r="U58" s="12"/>
      <c r="V58" s="34"/>
      <c r="W58" s="12">
        <f t="shared" si="77"/>
        <v>80</v>
      </c>
      <c r="X58" s="12">
        <f t="shared" si="75"/>
        <v>80</v>
      </c>
      <c r="Y58" s="12"/>
      <c r="Z58" s="12"/>
      <c r="AA58" s="12"/>
      <c r="AB58" s="12">
        <f t="shared" si="79"/>
        <v>27885000</v>
      </c>
      <c r="AC58" s="12">
        <f t="shared" si="80"/>
        <v>2640000</v>
      </c>
      <c r="AD58" s="12"/>
      <c r="AE58" s="12">
        <f>W58*30000</f>
        <v>2400000</v>
      </c>
      <c r="AF58" s="12"/>
      <c r="AG58" s="12">
        <f t="shared" si="78"/>
        <v>30525000</v>
      </c>
    </row>
    <row r="59" spans="2:33" s="78" customFormat="1" ht="15.5">
      <c r="B59" s="22" t="s">
        <v>22</v>
      </c>
      <c r="C59" s="76"/>
      <c r="D59" s="76">
        <v>33</v>
      </c>
      <c r="E59" s="76">
        <v>47</v>
      </c>
      <c r="F59" s="43">
        <f t="shared" si="0"/>
        <v>80</v>
      </c>
      <c r="G59" s="64"/>
      <c r="H59" s="64"/>
      <c r="I59" s="64"/>
      <c r="J59" s="64"/>
      <c r="K59" s="64"/>
      <c r="L59" s="64"/>
      <c r="M59" s="64"/>
      <c r="N59" s="64"/>
      <c r="O59" s="64"/>
      <c r="P59" s="64">
        <f t="shared" si="1"/>
        <v>0</v>
      </c>
      <c r="Q59" s="22">
        <f t="shared" si="76"/>
        <v>80</v>
      </c>
      <c r="R59" s="22"/>
      <c r="S59" s="22"/>
      <c r="T59" s="22"/>
      <c r="U59" s="22"/>
      <c r="V59" s="77"/>
      <c r="W59" s="22">
        <f t="shared" si="77"/>
        <v>80</v>
      </c>
      <c r="X59" s="22">
        <f t="shared" si="75"/>
        <v>80</v>
      </c>
      <c r="Y59" s="22"/>
      <c r="Z59" s="22"/>
      <c r="AA59" s="22"/>
      <c r="AB59" s="22">
        <f t="shared" si="79"/>
        <v>27885000</v>
      </c>
      <c r="AC59" s="22">
        <f t="shared" si="80"/>
        <v>2640000</v>
      </c>
      <c r="AD59" s="22"/>
      <c r="AE59" s="22"/>
      <c r="AF59" s="22">
        <f>W59*150000</f>
        <v>12000000</v>
      </c>
      <c r="AG59" s="12">
        <f t="shared" si="78"/>
        <v>30525000</v>
      </c>
    </row>
    <row r="60" spans="2:33" ht="15.5">
      <c r="B60" s="13" t="s">
        <v>45</v>
      </c>
      <c r="C60" s="44"/>
      <c r="D60" s="44"/>
      <c r="E60" s="44"/>
      <c r="F60" s="37">
        <f t="shared" si="0"/>
        <v>0</v>
      </c>
      <c r="G60" s="47"/>
      <c r="H60" s="47"/>
      <c r="I60" s="47"/>
      <c r="J60" s="47"/>
      <c r="K60" s="47"/>
      <c r="L60" s="47"/>
      <c r="M60" s="47"/>
      <c r="N60" s="47"/>
      <c r="O60" s="47"/>
      <c r="P60" s="46">
        <f t="shared" si="1"/>
        <v>0</v>
      </c>
      <c r="Q60" s="35">
        <f t="shared" si="76"/>
        <v>0</v>
      </c>
      <c r="R60" s="12"/>
      <c r="S60" s="12"/>
      <c r="T60" s="12"/>
      <c r="U60" s="12"/>
      <c r="V60" s="34"/>
      <c r="W60" s="12">
        <f t="shared" si="77"/>
        <v>0</v>
      </c>
      <c r="X60" s="12">
        <f t="shared" si="75"/>
        <v>0</v>
      </c>
      <c r="Y60" s="12"/>
      <c r="Z60" s="12"/>
      <c r="AA60" s="12"/>
      <c r="AB60" s="12">
        <f t="shared" si="79"/>
        <v>0</v>
      </c>
      <c r="AC60" s="12">
        <f t="shared" si="80"/>
        <v>0</v>
      </c>
      <c r="AD60" s="12"/>
      <c r="AE60" s="12"/>
      <c r="AF60" s="12"/>
      <c r="AG60" s="12"/>
    </row>
    <row r="61" spans="2:33" ht="15.5">
      <c r="B61" s="57" t="s">
        <v>46</v>
      </c>
      <c r="C61" s="59">
        <v>167</v>
      </c>
      <c r="D61" s="59">
        <v>186</v>
      </c>
      <c r="E61" s="59"/>
      <c r="F61" s="57">
        <f>SUM(F55:F60)</f>
        <v>653</v>
      </c>
      <c r="G61" s="57">
        <f t="shared" ref="G61:AG61" si="81">SUM(G55:G60)</f>
        <v>0</v>
      </c>
      <c r="H61" s="57">
        <f t="shared" si="81"/>
        <v>30</v>
      </c>
      <c r="I61" s="57">
        <f t="shared" si="81"/>
        <v>60</v>
      </c>
      <c r="J61" s="57">
        <f t="shared" si="81"/>
        <v>10</v>
      </c>
      <c r="K61" s="57">
        <f t="shared" si="81"/>
        <v>25</v>
      </c>
      <c r="L61" s="57">
        <f t="shared" si="81"/>
        <v>60</v>
      </c>
      <c r="M61" s="57">
        <f t="shared" si="81"/>
        <v>0</v>
      </c>
      <c r="N61" s="57">
        <f t="shared" si="81"/>
        <v>40</v>
      </c>
      <c r="O61" s="57">
        <f t="shared" si="81"/>
        <v>60</v>
      </c>
      <c r="P61" s="57">
        <f t="shared" si="81"/>
        <v>285</v>
      </c>
      <c r="Q61" s="57">
        <f t="shared" si="81"/>
        <v>938</v>
      </c>
      <c r="R61" s="57">
        <f t="shared" si="81"/>
        <v>0</v>
      </c>
      <c r="S61" s="57">
        <f t="shared" ref="S61" si="82">SUM(S55:S60)</f>
        <v>0</v>
      </c>
      <c r="T61" s="57">
        <f t="shared" ref="T61" si="83">SUM(T55:T60)</f>
        <v>112</v>
      </c>
      <c r="U61" s="57">
        <f t="shared" ref="U61" si="84">SUM(U55:U60)</f>
        <v>0</v>
      </c>
      <c r="V61" s="57">
        <f t="shared" ref="V61" si="85">SUM(V55:V60)</f>
        <v>0</v>
      </c>
      <c r="W61" s="57">
        <f t="shared" ref="W61:AA61" si="86">SUM(W55:W60)</f>
        <v>826</v>
      </c>
      <c r="X61" s="57">
        <f t="shared" si="86"/>
        <v>541</v>
      </c>
      <c r="Y61" s="57">
        <f t="shared" si="86"/>
        <v>90</v>
      </c>
      <c r="Z61" s="57">
        <f t="shared" si="86"/>
        <v>95</v>
      </c>
      <c r="AA61" s="57">
        <f t="shared" si="86"/>
        <v>100</v>
      </c>
      <c r="AB61" s="57">
        <f t="shared" ref="AB61" si="87">SUM(AB55:AB60)</f>
        <v>262100000</v>
      </c>
      <c r="AC61" s="57">
        <f t="shared" si="81"/>
        <v>27258000</v>
      </c>
      <c r="AD61" s="57">
        <f t="shared" si="81"/>
        <v>2460000</v>
      </c>
      <c r="AE61" s="57">
        <f t="shared" si="81"/>
        <v>2400000</v>
      </c>
      <c r="AF61" s="57">
        <f t="shared" si="81"/>
        <v>12000000</v>
      </c>
      <c r="AG61" s="57">
        <f t="shared" si="81"/>
        <v>291818000</v>
      </c>
    </row>
    <row r="62" spans="2:33">
      <c r="B62" s="25" t="s">
        <v>86</v>
      </c>
      <c r="C62" s="25">
        <f t="shared" ref="C62:E62" si="88">C61+C53+C45</f>
        <v>303</v>
      </c>
      <c r="D62" s="25">
        <f t="shared" si="88"/>
        <v>306</v>
      </c>
      <c r="E62" s="25">
        <f t="shared" si="88"/>
        <v>0</v>
      </c>
      <c r="F62" s="25">
        <f>F61+F53+F45</f>
        <v>1070</v>
      </c>
      <c r="G62" s="25">
        <f t="shared" ref="G62:AG62" si="89">G61+G53+G45</f>
        <v>10</v>
      </c>
      <c r="H62" s="25">
        <f t="shared" si="89"/>
        <v>60</v>
      </c>
      <c r="I62" s="25">
        <f t="shared" si="89"/>
        <v>140</v>
      </c>
      <c r="J62" s="25">
        <f t="shared" si="89"/>
        <v>20</v>
      </c>
      <c r="K62" s="25">
        <f t="shared" si="89"/>
        <v>55</v>
      </c>
      <c r="L62" s="25">
        <f t="shared" si="89"/>
        <v>120</v>
      </c>
      <c r="M62" s="25">
        <f t="shared" si="89"/>
        <v>10</v>
      </c>
      <c r="N62" s="25">
        <f t="shared" si="89"/>
        <v>60</v>
      </c>
      <c r="O62" s="25">
        <f t="shared" si="89"/>
        <v>150</v>
      </c>
      <c r="P62" s="25">
        <f>P61+P53+P45</f>
        <v>625</v>
      </c>
      <c r="Q62" s="25">
        <f t="shared" si="89"/>
        <v>1695</v>
      </c>
      <c r="R62" s="25">
        <f t="shared" si="89"/>
        <v>0</v>
      </c>
      <c r="S62" s="25">
        <f t="shared" ref="S62" si="90">S61+S53+S45</f>
        <v>0</v>
      </c>
      <c r="T62" s="25">
        <f t="shared" ref="T62" si="91">T61+T53+T45</f>
        <v>137</v>
      </c>
      <c r="U62" s="25">
        <f t="shared" ref="U62" si="92">U61+U53+U45</f>
        <v>0</v>
      </c>
      <c r="V62" s="25">
        <f t="shared" ref="V62" si="93">V61+V53+V45</f>
        <v>0</v>
      </c>
      <c r="W62" s="25">
        <f t="shared" ref="W62:AA62" si="94">W61+W53+W45</f>
        <v>1558</v>
      </c>
      <c r="X62" s="25">
        <f t="shared" si="94"/>
        <v>933</v>
      </c>
      <c r="Y62" s="25">
        <f t="shared" si="94"/>
        <v>210</v>
      </c>
      <c r="Z62" s="25">
        <f t="shared" si="94"/>
        <v>195</v>
      </c>
      <c r="AA62" s="25">
        <f t="shared" si="94"/>
        <v>220</v>
      </c>
      <c r="AB62" s="25">
        <f t="shared" si="89"/>
        <v>497730000</v>
      </c>
      <c r="AC62" s="25">
        <f t="shared" si="89"/>
        <v>51414000</v>
      </c>
      <c r="AD62" s="25">
        <f t="shared" si="89"/>
        <v>5240000</v>
      </c>
      <c r="AE62" s="25">
        <f t="shared" si="89"/>
        <v>3000000</v>
      </c>
      <c r="AF62" s="25">
        <f t="shared" si="89"/>
        <v>15000000</v>
      </c>
      <c r="AG62" s="25">
        <f t="shared" si="89"/>
        <v>554384000</v>
      </c>
    </row>
    <row r="63" spans="2:33">
      <c r="B63" s="12" t="s">
        <v>66</v>
      </c>
      <c r="C63" s="42"/>
      <c r="D63" s="41"/>
      <c r="E63" s="41"/>
      <c r="F63" s="37"/>
      <c r="G63" s="47"/>
      <c r="H63" s="47"/>
      <c r="I63" s="47"/>
      <c r="J63" s="47"/>
      <c r="K63" s="47"/>
      <c r="L63" s="47"/>
      <c r="M63" s="47"/>
      <c r="N63" s="47"/>
      <c r="O63" s="47"/>
      <c r="P63" s="46"/>
      <c r="Q63" s="35"/>
      <c r="R63" s="12"/>
      <c r="S63" s="12"/>
      <c r="T63" s="12"/>
      <c r="U63" s="12"/>
      <c r="V63" s="28"/>
      <c r="W63" s="12"/>
      <c r="X63" s="12">
        <f>W62-X62</f>
        <v>625</v>
      </c>
      <c r="Y63" s="12"/>
      <c r="Z63" s="12"/>
      <c r="AA63" s="12"/>
      <c r="AB63" s="12"/>
      <c r="AC63" s="12"/>
      <c r="AD63" s="12"/>
      <c r="AE63" s="12"/>
      <c r="AF63" s="12"/>
      <c r="AG63" s="12"/>
    </row>
    <row r="64" spans="2:33">
      <c r="B64" s="31" t="s">
        <v>67</v>
      </c>
      <c r="C64" s="40"/>
      <c r="D64" s="39"/>
      <c r="E64" s="39"/>
      <c r="F64" s="37"/>
      <c r="G64" s="47"/>
      <c r="H64" s="47"/>
      <c r="I64" s="47"/>
      <c r="J64" s="47"/>
      <c r="K64" s="47"/>
      <c r="L64" s="47"/>
      <c r="M64" s="47"/>
      <c r="N64" s="47"/>
      <c r="O64" s="47"/>
      <c r="P64" s="46">
        <f t="shared" si="1"/>
        <v>0</v>
      </c>
      <c r="Q64" s="35">
        <f t="shared" ref="Q64:Q70" si="95">F64+P64</f>
        <v>0</v>
      </c>
      <c r="R64" s="12"/>
      <c r="S64" s="12"/>
      <c r="T64" s="12"/>
      <c r="U64" s="12"/>
      <c r="V64" s="28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</row>
    <row r="65" spans="2:33">
      <c r="B65" s="13" t="s">
        <v>23</v>
      </c>
      <c r="C65" s="39"/>
      <c r="D65" s="39"/>
      <c r="E65" s="39"/>
      <c r="F65" s="37">
        <f t="shared" si="0"/>
        <v>0</v>
      </c>
      <c r="G65" s="47"/>
      <c r="H65" s="47"/>
      <c r="I65" s="47"/>
      <c r="J65" s="111"/>
      <c r="K65" s="47"/>
      <c r="L65" s="47"/>
      <c r="M65" s="47">
        <v>15</v>
      </c>
      <c r="N65" s="47"/>
      <c r="O65" s="47"/>
      <c r="P65" s="46">
        <f t="shared" si="1"/>
        <v>15</v>
      </c>
      <c r="Q65" s="35">
        <f t="shared" si="95"/>
        <v>15</v>
      </c>
      <c r="R65" s="12"/>
      <c r="S65" s="12"/>
      <c r="T65" s="12"/>
      <c r="U65" s="12"/>
      <c r="V65" s="28"/>
      <c r="W65" s="12">
        <f t="shared" ref="W65:W70" si="96">Q65-SUM(R65:V65)</f>
        <v>15</v>
      </c>
      <c r="X65" s="12">
        <f t="shared" ref="X65:X70" si="97">F65-R65-T65</f>
        <v>0</v>
      </c>
      <c r="Y65" s="12"/>
      <c r="Z65" s="12">
        <v>10</v>
      </c>
      <c r="AA65" s="12">
        <v>5</v>
      </c>
      <c r="AB65" s="12">
        <f>((X65*440000)+(Y65*440000)+(Z65*295000)+(AA65*150000))</f>
        <v>3700000</v>
      </c>
      <c r="AC65" s="12">
        <f>W65*33000</f>
        <v>495000</v>
      </c>
      <c r="AD65" s="12">
        <f>W65*5000</f>
        <v>75000</v>
      </c>
      <c r="AE65" s="12"/>
      <c r="AF65" s="12"/>
      <c r="AG65" s="12">
        <f t="shared" ref="AG65:AG69" si="98">SUM(AB65:AD65)</f>
        <v>4270000</v>
      </c>
    </row>
    <row r="66" spans="2:33">
      <c r="B66" s="13" t="s">
        <v>24</v>
      </c>
      <c r="C66" s="39"/>
      <c r="D66" s="39"/>
      <c r="E66" s="39"/>
      <c r="F66" s="37">
        <f t="shared" si="0"/>
        <v>0</v>
      </c>
      <c r="G66" s="47"/>
      <c r="H66" s="47"/>
      <c r="I66" s="47"/>
      <c r="J66" s="47"/>
      <c r="K66" s="47"/>
      <c r="L66" s="47"/>
      <c r="M66" s="47"/>
      <c r="N66" s="47"/>
      <c r="O66" s="47"/>
      <c r="P66" s="46">
        <f t="shared" si="1"/>
        <v>0</v>
      </c>
      <c r="Q66" s="35">
        <f t="shared" si="95"/>
        <v>0</v>
      </c>
      <c r="R66" s="12"/>
      <c r="S66" s="12"/>
      <c r="T66" s="12"/>
      <c r="U66" s="12"/>
      <c r="V66" s="28"/>
      <c r="W66" s="12">
        <f t="shared" si="96"/>
        <v>0</v>
      </c>
      <c r="X66" s="12">
        <f t="shared" si="97"/>
        <v>0</v>
      </c>
      <c r="Y66" s="12"/>
      <c r="Z66" s="12"/>
      <c r="AA66" s="12"/>
      <c r="AB66" s="12">
        <f t="shared" ref="AB66:AB70" si="99">((X66*440000)+(Y66*440000)+(Z66*295000)+(AA66*150000))</f>
        <v>0</v>
      </c>
      <c r="AC66" s="12">
        <f t="shared" ref="AC66:AC69" si="100">W66*33000</f>
        <v>0</v>
      </c>
      <c r="AD66" s="12"/>
      <c r="AE66" s="12"/>
      <c r="AF66" s="12"/>
      <c r="AG66" s="12">
        <f t="shared" si="98"/>
        <v>0</v>
      </c>
    </row>
    <row r="67" spans="2:33">
      <c r="B67" s="13" t="s">
        <v>25</v>
      </c>
      <c r="C67" s="39">
        <v>16</v>
      </c>
      <c r="D67" s="39"/>
      <c r="E67" s="39"/>
      <c r="F67" s="37">
        <f t="shared" si="0"/>
        <v>16</v>
      </c>
      <c r="G67" s="47"/>
      <c r="H67" s="47"/>
      <c r="I67" s="47"/>
      <c r="J67" s="47">
        <v>20</v>
      </c>
      <c r="K67" s="47"/>
      <c r="L67" s="47"/>
      <c r="M67" s="47">
        <v>30</v>
      </c>
      <c r="N67" s="47"/>
      <c r="O67" s="47"/>
      <c r="P67" s="46">
        <f t="shared" si="1"/>
        <v>50</v>
      </c>
      <c r="Q67" s="35">
        <f t="shared" si="95"/>
        <v>66</v>
      </c>
      <c r="R67" s="12"/>
      <c r="S67" s="12"/>
      <c r="T67" s="12"/>
      <c r="U67" s="12">
        <v>50</v>
      </c>
      <c r="V67" s="28"/>
      <c r="W67" s="12">
        <f t="shared" si="96"/>
        <v>16</v>
      </c>
      <c r="X67" s="12">
        <f t="shared" si="97"/>
        <v>16</v>
      </c>
      <c r="Y67" s="12"/>
      <c r="Z67" s="12">
        <v>0</v>
      </c>
      <c r="AA67" s="12">
        <v>0</v>
      </c>
      <c r="AB67" s="12">
        <f t="shared" si="99"/>
        <v>7040000</v>
      </c>
      <c r="AC67" s="12">
        <f t="shared" si="100"/>
        <v>528000</v>
      </c>
      <c r="AD67" s="12">
        <f>(Y67+Z67+AA67)*5000</f>
        <v>0</v>
      </c>
      <c r="AE67" s="12"/>
      <c r="AF67" s="12"/>
      <c r="AG67" s="12">
        <f t="shared" si="98"/>
        <v>7568000</v>
      </c>
    </row>
    <row r="68" spans="2:33">
      <c r="B68" s="13" t="s">
        <v>26</v>
      </c>
      <c r="C68" s="39">
        <v>45</v>
      </c>
      <c r="D68" s="39"/>
      <c r="E68" s="39"/>
      <c r="F68" s="37">
        <f t="shared" si="0"/>
        <v>45</v>
      </c>
      <c r="G68" s="47"/>
      <c r="H68" s="47"/>
      <c r="I68" s="47"/>
      <c r="J68" s="47"/>
      <c r="K68" s="47"/>
      <c r="L68" s="47"/>
      <c r="M68" s="47"/>
      <c r="N68" s="47"/>
      <c r="O68" s="47"/>
      <c r="P68" s="46">
        <f t="shared" si="1"/>
        <v>0</v>
      </c>
      <c r="Q68" s="35">
        <f t="shared" si="95"/>
        <v>45</v>
      </c>
      <c r="R68" s="12"/>
      <c r="S68" s="12"/>
      <c r="T68" s="12"/>
      <c r="U68" s="12"/>
      <c r="V68" s="28"/>
      <c r="W68" s="12">
        <f t="shared" si="96"/>
        <v>45</v>
      </c>
      <c r="X68" s="12">
        <f t="shared" si="97"/>
        <v>45</v>
      </c>
      <c r="Y68" s="12"/>
      <c r="Z68" s="12"/>
      <c r="AA68" s="12"/>
      <c r="AB68" s="12">
        <f t="shared" si="99"/>
        <v>19800000</v>
      </c>
      <c r="AC68" s="12">
        <f t="shared" si="100"/>
        <v>1485000</v>
      </c>
      <c r="AD68" s="12"/>
      <c r="AE68" s="12">
        <f>W68*30000</f>
        <v>1350000</v>
      </c>
      <c r="AF68" s="12">
        <f>W68*150000</f>
        <v>6750000</v>
      </c>
      <c r="AG68" s="12">
        <f t="shared" si="98"/>
        <v>21285000</v>
      </c>
    </row>
    <row r="69" spans="2:33">
      <c r="B69" s="13" t="s">
        <v>22</v>
      </c>
      <c r="C69" s="39"/>
      <c r="D69" s="39"/>
      <c r="E69" s="39"/>
      <c r="F69" s="37">
        <f t="shared" si="0"/>
        <v>0</v>
      </c>
      <c r="G69" s="47"/>
      <c r="H69" s="47"/>
      <c r="I69" s="47"/>
      <c r="J69" s="47"/>
      <c r="K69" s="47"/>
      <c r="L69" s="47"/>
      <c r="M69" s="47"/>
      <c r="N69" s="47"/>
      <c r="O69" s="47"/>
      <c r="P69" s="46">
        <f t="shared" si="1"/>
        <v>0</v>
      </c>
      <c r="Q69" s="35">
        <f t="shared" si="95"/>
        <v>0</v>
      </c>
      <c r="R69" s="12"/>
      <c r="S69" s="12"/>
      <c r="T69" s="12"/>
      <c r="U69" s="12"/>
      <c r="V69" s="28"/>
      <c r="W69" s="12">
        <f t="shared" si="96"/>
        <v>0</v>
      </c>
      <c r="X69" s="12">
        <f t="shared" si="97"/>
        <v>0</v>
      </c>
      <c r="Y69" s="12"/>
      <c r="Z69" s="12"/>
      <c r="AA69" s="12"/>
      <c r="AB69" s="12">
        <f t="shared" si="99"/>
        <v>0</v>
      </c>
      <c r="AC69" s="12">
        <f t="shared" si="100"/>
        <v>0</v>
      </c>
      <c r="AD69" s="12"/>
      <c r="AE69" s="12">
        <f>W69*30000</f>
        <v>0</v>
      </c>
      <c r="AF69" s="12">
        <f>W69*150000</f>
        <v>0</v>
      </c>
      <c r="AG69" s="12">
        <f t="shared" si="98"/>
        <v>0</v>
      </c>
    </row>
    <row r="70" spans="2:33">
      <c r="B70" s="13" t="s">
        <v>45</v>
      </c>
      <c r="C70" s="39"/>
      <c r="D70" s="39"/>
      <c r="E70" s="39"/>
      <c r="F70" s="37">
        <f t="shared" si="0"/>
        <v>0</v>
      </c>
      <c r="G70" s="47"/>
      <c r="H70" s="47"/>
      <c r="I70" s="47"/>
      <c r="J70" s="47"/>
      <c r="K70" s="47"/>
      <c r="L70" s="47"/>
      <c r="M70" s="47"/>
      <c r="N70" s="47"/>
      <c r="O70" s="47"/>
      <c r="P70" s="46">
        <f t="shared" si="1"/>
        <v>0</v>
      </c>
      <c r="Q70" s="35">
        <f t="shared" si="95"/>
        <v>0</v>
      </c>
      <c r="R70" s="12"/>
      <c r="S70" s="12"/>
      <c r="T70" s="12"/>
      <c r="U70" s="12"/>
      <c r="V70" s="28"/>
      <c r="W70" s="12">
        <f t="shared" si="96"/>
        <v>0</v>
      </c>
      <c r="X70" s="12">
        <f t="shared" si="97"/>
        <v>0</v>
      </c>
      <c r="Y70" s="12"/>
      <c r="Z70" s="12"/>
      <c r="AA70" s="12"/>
      <c r="AB70" s="12">
        <f t="shared" si="99"/>
        <v>0</v>
      </c>
      <c r="AC70" s="12"/>
      <c r="AD70" s="12"/>
      <c r="AE70" s="12"/>
      <c r="AF70" s="12"/>
      <c r="AG70" s="12"/>
    </row>
    <row r="71" spans="2:33">
      <c r="B71" s="57" t="s">
        <v>46</v>
      </c>
      <c r="C71" s="57">
        <f>SUM(C65:C70)</f>
        <v>61</v>
      </c>
      <c r="D71" s="57">
        <f>SUM(D65:D70)</f>
        <v>0</v>
      </c>
      <c r="E71" s="57"/>
      <c r="F71" s="57">
        <f>SUM(F65:F70)</f>
        <v>61</v>
      </c>
      <c r="G71" s="57">
        <f t="shared" ref="G71:AG71" si="101">SUM(G65:G70)</f>
        <v>0</v>
      </c>
      <c r="H71" s="57">
        <f t="shared" si="101"/>
        <v>0</v>
      </c>
      <c r="I71" s="57">
        <f t="shared" si="101"/>
        <v>0</v>
      </c>
      <c r="J71" s="57">
        <f t="shared" si="101"/>
        <v>20</v>
      </c>
      <c r="K71" s="57">
        <f t="shared" si="101"/>
        <v>0</v>
      </c>
      <c r="L71" s="57">
        <f t="shared" si="101"/>
        <v>0</v>
      </c>
      <c r="M71" s="57">
        <f>SUM(M65:M70)</f>
        <v>45</v>
      </c>
      <c r="N71" s="57">
        <f t="shared" si="101"/>
        <v>0</v>
      </c>
      <c r="O71" s="57">
        <f t="shared" si="101"/>
        <v>0</v>
      </c>
      <c r="P71" s="57">
        <f t="shared" si="101"/>
        <v>65</v>
      </c>
      <c r="Q71" s="57">
        <f>SUM(Q65:Q70)</f>
        <v>126</v>
      </c>
      <c r="R71" s="57">
        <f t="shared" si="101"/>
        <v>0</v>
      </c>
      <c r="S71" s="57">
        <f t="shared" ref="S71" si="102">SUM(S65:S70)</f>
        <v>0</v>
      </c>
      <c r="T71" s="57">
        <f t="shared" ref="T71" si="103">SUM(T65:T70)</f>
        <v>0</v>
      </c>
      <c r="U71" s="57">
        <f t="shared" ref="U71" si="104">SUM(U65:U70)</f>
        <v>50</v>
      </c>
      <c r="V71" s="57">
        <f t="shared" ref="V71" si="105">SUM(V65:V70)</f>
        <v>0</v>
      </c>
      <c r="W71" s="57">
        <f>SUM(W65:W70)</f>
        <v>76</v>
      </c>
      <c r="X71" s="57">
        <f>SUM(X65:X70)</f>
        <v>61</v>
      </c>
      <c r="Y71" s="57">
        <f t="shared" ref="Y71:AA71" si="106">SUM(Y65:Y70)</f>
        <v>0</v>
      </c>
      <c r="Z71" s="57">
        <f t="shared" si="106"/>
        <v>10</v>
      </c>
      <c r="AA71" s="57">
        <f t="shared" si="106"/>
        <v>5</v>
      </c>
      <c r="AB71" s="57">
        <f t="shared" ref="AB71" si="107">SUM(AB65:AB70)</f>
        <v>30540000</v>
      </c>
      <c r="AC71" s="57">
        <f t="shared" ref="AC71" si="108">SUM(AC65:AC70)</f>
        <v>2508000</v>
      </c>
      <c r="AD71" s="57">
        <f t="shared" si="101"/>
        <v>75000</v>
      </c>
      <c r="AE71" s="57">
        <f t="shared" si="101"/>
        <v>1350000</v>
      </c>
      <c r="AF71" s="57">
        <f t="shared" si="101"/>
        <v>6750000</v>
      </c>
      <c r="AG71" s="57">
        <f t="shared" si="101"/>
        <v>33123000</v>
      </c>
    </row>
    <row r="72" spans="2:33">
      <c r="B72" s="31" t="s">
        <v>68</v>
      </c>
      <c r="C72" s="40"/>
      <c r="D72" s="41"/>
      <c r="E72" s="41"/>
      <c r="F72" s="37"/>
      <c r="G72" s="47"/>
      <c r="H72" s="47"/>
      <c r="I72" s="47"/>
      <c r="J72" s="47"/>
      <c r="K72" s="47"/>
      <c r="L72" s="47"/>
      <c r="M72" s="47"/>
      <c r="N72" s="47"/>
      <c r="O72" s="47"/>
      <c r="P72" s="46"/>
      <c r="Q72" s="35"/>
      <c r="R72" s="12"/>
      <c r="S72" s="12"/>
      <c r="T72" s="12"/>
      <c r="U72" s="12"/>
      <c r="V72" s="28"/>
      <c r="W72" s="12"/>
      <c r="X72" s="12">
        <f t="shared" ref="X72:X78" si="109">F72-R72-T72</f>
        <v>0</v>
      </c>
      <c r="Y72" s="12"/>
      <c r="Z72" s="12"/>
      <c r="AA72" s="12"/>
      <c r="AB72" s="12"/>
      <c r="AC72" s="12"/>
      <c r="AD72" s="12"/>
      <c r="AE72" s="12"/>
      <c r="AF72" s="12"/>
      <c r="AG72" s="12"/>
    </row>
    <row r="73" spans="2:33" s="3" customFormat="1">
      <c r="B73" s="69" t="s">
        <v>23</v>
      </c>
      <c r="C73" s="70"/>
      <c r="D73" s="70"/>
      <c r="E73" s="70"/>
      <c r="F73" s="71">
        <f t="shared" si="0"/>
        <v>0</v>
      </c>
      <c r="G73" s="72"/>
      <c r="H73" s="72"/>
      <c r="I73" s="72"/>
      <c r="J73" s="72"/>
      <c r="K73" s="72"/>
      <c r="L73" s="72"/>
      <c r="M73" s="72">
        <v>10</v>
      </c>
      <c r="N73" s="72"/>
      <c r="O73" s="72"/>
      <c r="P73" s="73">
        <f t="shared" si="1"/>
        <v>10</v>
      </c>
      <c r="Q73" s="74">
        <f t="shared" ref="Q73:Q78" si="110">F73+P73</f>
        <v>10</v>
      </c>
      <c r="R73" s="74"/>
      <c r="S73" s="74"/>
      <c r="T73" s="74"/>
      <c r="U73" s="74">
        <v>10</v>
      </c>
      <c r="V73" s="75">
        <v>0</v>
      </c>
      <c r="W73" s="74">
        <f t="shared" ref="W73:W78" si="111">Q73-SUM(R73:V73)</f>
        <v>0</v>
      </c>
      <c r="X73" s="74">
        <f>F73-R73-T73</f>
        <v>0</v>
      </c>
      <c r="Y73" s="74"/>
      <c r="Z73" s="74"/>
      <c r="AA73" s="74">
        <v>0</v>
      </c>
      <c r="AB73" s="74">
        <f>((X73*500000)+(Y73*500000)+(Z73*340000)+(AA73*170000))</f>
        <v>0</v>
      </c>
      <c r="AC73" s="74">
        <f t="shared" ref="AC73:AC77" si="112">W73*33000</f>
        <v>0</v>
      </c>
      <c r="AD73" s="74">
        <f>W73*5000</f>
        <v>0</v>
      </c>
      <c r="AE73" s="74"/>
      <c r="AF73" s="74"/>
      <c r="AG73" s="74">
        <f t="shared" ref="AG73:AG77" si="113">SUM(AB73:AD73)</f>
        <v>0</v>
      </c>
    </row>
    <row r="74" spans="2:33">
      <c r="B74" s="13" t="s">
        <v>24</v>
      </c>
      <c r="C74" s="39">
        <v>5</v>
      </c>
      <c r="D74" s="39"/>
      <c r="E74" s="39"/>
      <c r="F74" s="37">
        <f t="shared" si="0"/>
        <v>5</v>
      </c>
      <c r="G74" s="47"/>
      <c r="H74" s="47"/>
      <c r="I74" s="47"/>
      <c r="J74" s="47"/>
      <c r="K74" s="47"/>
      <c r="L74" s="47"/>
      <c r="M74" s="47"/>
      <c r="N74" s="47"/>
      <c r="O74" s="47"/>
      <c r="P74" s="46">
        <f t="shared" si="1"/>
        <v>0</v>
      </c>
      <c r="Q74" s="35">
        <f t="shared" si="110"/>
        <v>5</v>
      </c>
      <c r="R74" s="12">
        <v>5</v>
      </c>
      <c r="S74" s="12"/>
      <c r="T74" s="12"/>
      <c r="U74" s="12"/>
      <c r="V74" s="28"/>
      <c r="W74" s="12">
        <f>Q74-SUM(R74:V74)</f>
        <v>0</v>
      </c>
      <c r="X74" s="12">
        <f>F74-R74-T74</f>
        <v>0</v>
      </c>
      <c r="Y74" s="12"/>
      <c r="Z74" s="12"/>
      <c r="AA74" s="12"/>
      <c r="AB74" s="74">
        <f t="shared" ref="AB74:AB77" si="114">((X74*500000)+(Y74*500000)+(Z74*340000)+(AA74*170000))</f>
        <v>0</v>
      </c>
      <c r="AC74" s="74">
        <f t="shared" si="112"/>
        <v>0</v>
      </c>
      <c r="AD74" s="12"/>
      <c r="AE74" s="12"/>
      <c r="AF74" s="12"/>
      <c r="AG74" s="74">
        <f t="shared" si="113"/>
        <v>0</v>
      </c>
    </row>
    <row r="75" spans="2:33">
      <c r="B75" s="13" t="s">
        <v>25</v>
      </c>
      <c r="C75" s="39"/>
      <c r="D75" s="39"/>
      <c r="E75" s="39"/>
      <c r="F75" s="37">
        <f t="shared" si="0"/>
        <v>0</v>
      </c>
      <c r="G75" s="47"/>
      <c r="H75" s="47"/>
      <c r="I75" s="47"/>
      <c r="J75" s="47"/>
      <c r="K75" s="47"/>
      <c r="L75" s="47"/>
      <c r="M75" s="47">
        <v>20</v>
      </c>
      <c r="N75" s="47"/>
      <c r="O75" s="47"/>
      <c r="P75" s="46">
        <f t="shared" si="1"/>
        <v>20</v>
      </c>
      <c r="Q75" s="35">
        <f t="shared" si="110"/>
        <v>20</v>
      </c>
      <c r="R75" s="12"/>
      <c r="S75" s="12"/>
      <c r="T75" s="12"/>
      <c r="U75" s="12">
        <v>20</v>
      </c>
      <c r="V75" s="28"/>
      <c r="W75" s="12">
        <f t="shared" si="111"/>
        <v>0</v>
      </c>
      <c r="X75" s="12">
        <f t="shared" si="109"/>
        <v>0</v>
      </c>
      <c r="Y75" s="12"/>
      <c r="Z75" s="12"/>
      <c r="AA75" s="12">
        <v>0</v>
      </c>
      <c r="AB75" s="74">
        <f t="shared" si="114"/>
        <v>0</v>
      </c>
      <c r="AC75" s="74">
        <f t="shared" si="112"/>
        <v>0</v>
      </c>
      <c r="AD75" s="12">
        <f>(Y75+Z75+AA75)*5000</f>
        <v>0</v>
      </c>
      <c r="AE75" s="12"/>
      <c r="AF75" s="12"/>
      <c r="AG75" s="74">
        <f t="shared" si="113"/>
        <v>0</v>
      </c>
    </row>
    <row r="76" spans="2:33">
      <c r="B76" s="13" t="s">
        <v>26</v>
      </c>
      <c r="C76" s="39"/>
      <c r="D76" s="39"/>
      <c r="E76" s="39"/>
      <c r="F76" s="37">
        <f t="shared" si="0"/>
        <v>0</v>
      </c>
      <c r="G76" s="47"/>
      <c r="H76" s="47"/>
      <c r="I76" s="47"/>
      <c r="J76" s="47"/>
      <c r="K76" s="47"/>
      <c r="L76" s="47"/>
      <c r="M76" s="47"/>
      <c r="N76" s="47"/>
      <c r="O76" s="47"/>
      <c r="P76" s="46">
        <f t="shared" si="1"/>
        <v>0</v>
      </c>
      <c r="Q76" s="35">
        <f t="shared" si="110"/>
        <v>0</v>
      </c>
      <c r="R76" s="12"/>
      <c r="S76" s="12"/>
      <c r="T76" s="12"/>
      <c r="U76" s="12"/>
      <c r="V76" s="28"/>
      <c r="W76" s="12">
        <f t="shared" si="111"/>
        <v>0</v>
      </c>
      <c r="X76" s="12">
        <f t="shared" si="109"/>
        <v>0</v>
      </c>
      <c r="Y76" s="12"/>
      <c r="Z76" s="12"/>
      <c r="AA76" s="12"/>
      <c r="AB76" s="74">
        <f t="shared" si="114"/>
        <v>0</v>
      </c>
      <c r="AC76" s="74">
        <f t="shared" si="112"/>
        <v>0</v>
      </c>
      <c r="AD76" s="12"/>
      <c r="AE76" s="12">
        <f>W76*30000</f>
        <v>0</v>
      </c>
      <c r="AF76" s="12">
        <f>W76*150000</f>
        <v>0</v>
      </c>
      <c r="AG76" s="74">
        <f t="shared" si="113"/>
        <v>0</v>
      </c>
    </row>
    <row r="77" spans="2:33">
      <c r="B77" s="13" t="s">
        <v>22</v>
      </c>
      <c r="C77" s="39"/>
      <c r="D77" s="39"/>
      <c r="E77" s="39"/>
      <c r="F77" s="37">
        <f t="shared" si="0"/>
        <v>0</v>
      </c>
      <c r="G77" s="47"/>
      <c r="H77" s="47"/>
      <c r="I77" s="47"/>
      <c r="J77" s="47"/>
      <c r="K77" s="47"/>
      <c r="L77" s="47"/>
      <c r="M77" s="47"/>
      <c r="N77" s="47"/>
      <c r="O77" s="47"/>
      <c r="P77" s="46">
        <f t="shared" si="1"/>
        <v>0</v>
      </c>
      <c r="Q77" s="35">
        <f t="shared" si="110"/>
        <v>0</v>
      </c>
      <c r="R77" s="12"/>
      <c r="S77" s="12"/>
      <c r="T77" s="12"/>
      <c r="U77" s="12"/>
      <c r="V77" s="28"/>
      <c r="W77" s="12">
        <f t="shared" si="111"/>
        <v>0</v>
      </c>
      <c r="X77" s="12">
        <f t="shared" si="109"/>
        <v>0</v>
      </c>
      <c r="Y77" s="12"/>
      <c r="Z77" s="12"/>
      <c r="AA77" s="12"/>
      <c r="AB77" s="74">
        <f t="shared" si="114"/>
        <v>0</v>
      </c>
      <c r="AC77" s="74">
        <f t="shared" si="112"/>
        <v>0</v>
      </c>
      <c r="AD77" s="12"/>
      <c r="AE77" s="12"/>
      <c r="AF77" s="12"/>
      <c r="AG77" s="74">
        <f t="shared" si="113"/>
        <v>0</v>
      </c>
    </row>
    <row r="78" spans="2:33">
      <c r="B78" s="13" t="s">
        <v>45</v>
      </c>
      <c r="C78" s="39"/>
      <c r="D78" s="39"/>
      <c r="E78" s="39"/>
      <c r="F78" s="37">
        <f t="shared" si="0"/>
        <v>0</v>
      </c>
      <c r="G78" s="47"/>
      <c r="H78" s="47"/>
      <c r="I78" s="47"/>
      <c r="J78" s="47"/>
      <c r="K78" s="47"/>
      <c r="L78" s="47"/>
      <c r="M78" s="47"/>
      <c r="N78" s="47"/>
      <c r="O78" s="47"/>
      <c r="P78" s="46">
        <f t="shared" si="1"/>
        <v>0</v>
      </c>
      <c r="Q78" s="35">
        <f t="shared" si="110"/>
        <v>0</v>
      </c>
      <c r="R78" s="12"/>
      <c r="S78" s="12"/>
      <c r="T78" s="12"/>
      <c r="U78" s="12"/>
      <c r="V78" s="28"/>
      <c r="W78" s="12">
        <f t="shared" si="111"/>
        <v>0</v>
      </c>
      <c r="X78" s="12">
        <f t="shared" si="109"/>
        <v>0</v>
      </c>
      <c r="Y78" s="12"/>
      <c r="Z78" s="12"/>
      <c r="AA78" s="12"/>
      <c r="AB78" s="12"/>
      <c r="AC78" s="12"/>
      <c r="AD78" s="12"/>
      <c r="AE78" s="12"/>
      <c r="AF78" s="12"/>
      <c r="AG78" s="12"/>
    </row>
    <row r="79" spans="2:33">
      <c r="B79" s="57" t="s">
        <v>46</v>
      </c>
      <c r="C79" s="57">
        <f>SUM(C73:C78)</f>
        <v>5</v>
      </c>
      <c r="D79" s="57">
        <f>SUM(D73:D78)</f>
        <v>0</v>
      </c>
      <c r="E79" s="57"/>
      <c r="F79" s="57">
        <f>SUM(F73:F78)</f>
        <v>5</v>
      </c>
      <c r="G79" s="57">
        <f t="shared" ref="G79:AF79" si="115">SUM(G73:G78)</f>
        <v>0</v>
      </c>
      <c r="H79" s="57">
        <f t="shared" si="115"/>
        <v>0</v>
      </c>
      <c r="I79" s="57">
        <f t="shared" si="115"/>
        <v>0</v>
      </c>
      <c r="J79" s="57">
        <f t="shared" si="115"/>
        <v>0</v>
      </c>
      <c r="K79" s="57">
        <f t="shared" si="115"/>
        <v>0</v>
      </c>
      <c r="L79" s="57">
        <f t="shared" si="115"/>
        <v>0</v>
      </c>
      <c r="M79" s="57">
        <f t="shared" si="115"/>
        <v>30</v>
      </c>
      <c r="N79" s="57">
        <f t="shared" si="115"/>
        <v>0</v>
      </c>
      <c r="O79" s="57">
        <f t="shared" si="115"/>
        <v>0</v>
      </c>
      <c r="P79" s="57">
        <f t="shared" si="115"/>
        <v>30</v>
      </c>
      <c r="Q79" s="57">
        <f t="shared" si="115"/>
        <v>35</v>
      </c>
      <c r="R79" s="57">
        <f>SUM(R73:R78)</f>
        <v>5</v>
      </c>
      <c r="S79" s="57">
        <f t="shared" ref="S79" si="116">SUM(S73:S78)</f>
        <v>0</v>
      </c>
      <c r="T79" s="57">
        <f t="shared" ref="T79" si="117">SUM(T73:T78)</f>
        <v>0</v>
      </c>
      <c r="U79" s="57">
        <f t="shared" ref="U79" si="118">SUM(U73:U78)</f>
        <v>30</v>
      </c>
      <c r="V79" s="57">
        <f t="shared" ref="V79" si="119">SUM(V73:V78)</f>
        <v>0</v>
      </c>
      <c r="W79" s="57">
        <f t="shared" ref="W79:AA79" si="120">SUM(W73:W78)</f>
        <v>0</v>
      </c>
      <c r="X79" s="57">
        <f t="shared" si="120"/>
        <v>0</v>
      </c>
      <c r="Y79" s="57">
        <f t="shared" si="120"/>
        <v>0</v>
      </c>
      <c r="Z79" s="57">
        <f t="shared" si="120"/>
        <v>0</v>
      </c>
      <c r="AA79" s="57">
        <f t="shared" si="120"/>
        <v>0</v>
      </c>
      <c r="AB79" s="57">
        <f t="shared" ref="AB79" si="121">SUM(AB73:AB78)</f>
        <v>0</v>
      </c>
      <c r="AC79" s="57">
        <f t="shared" ref="AC79" si="122">SUM(AC73:AC78)</f>
        <v>0</v>
      </c>
      <c r="AD79" s="57">
        <f t="shared" si="115"/>
        <v>0</v>
      </c>
      <c r="AE79" s="57">
        <f t="shared" si="115"/>
        <v>0</v>
      </c>
      <c r="AF79" s="57">
        <f t="shared" si="115"/>
        <v>0</v>
      </c>
      <c r="AG79" s="57">
        <f>SUM(AG73:AG78)</f>
        <v>0</v>
      </c>
    </row>
    <row r="80" spans="2:33">
      <c r="B80" s="31" t="s">
        <v>69</v>
      </c>
      <c r="C80" s="40"/>
      <c r="D80" s="41"/>
      <c r="E80" s="41"/>
      <c r="F80" s="37"/>
      <c r="G80" s="47"/>
      <c r="H80" s="47"/>
      <c r="I80" s="47"/>
      <c r="J80" s="47"/>
      <c r="K80" s="47"/>
      <c r="L80" s="47"/>
      <c r="M80" s="47"/>
      <c r="N80" s="47"/>
      <c r="O80" s="47"/>
      <c r="P80" s="46"/>
      <c r="Q80" s="35"/>
      <c r="R80" s="12"/>
      <c r="S80" s="12"/>
      <c r="T80" s="12"/>
      <c r="U80" s="12"/>
      <c r="V80" s="28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</row>
    <row r="81" spans="2:33">
      <c r="B81" s="13" t="s">
        <v>23</v>
      </c>
      <c r="C81" s="39">
        <f>43+40</f>
        <v>83</v>
      </c>
      <c r="D81" s="39"/>
      <c r="E81" s="39"/>
      <c r="F81" s="37">
        <f t="shared" ref="F81:F115" si="123">SUM(C81:E81)</f>
        <v>83</v>
      </c>
      <c r="G81" s="47"/>
      <c r="H81" s="47"/>
      <c r="I81" s="47"/>
      <c r="J81" s="47">
        <v>60</v>
      </c>
      <c r="K81" s="47"/>
      <c r="L81" s="47"/>
      <c r="M81" s="47">
        <v>10</v>
      </c>
      <c r="N81" s="47"/>
      <c r="O81" s="47"/>
      <c r="P81" s="46">
        <f t="shared" si="1"/>
        <v>70</v>
      </c>
      <c r="Q81" s="35">
        <f t="shared" ref="Q81:Q86" si="124">F81+P81</f>
        <v>153</v>
      </c>
      <c r="R81" s="12">
        <v>81</v>
      </c>
      <c r="S81" s="12">
        <v>50</v>
      </c>
      <c r="T81" s="12"/>
      <c r="U81" s="12">
        <v>20</v>
      </c>
      <c r="V81" s="28"/>
      <c r="W81" s="12">
        <f t="shared" ref="W81:W86" si="125">Q81-SUM(R81:V81)</f>
        <v>2</v>
      </c>
      <c r="X81" s="12">
        <f t="shared" ref="X81:X86" si="126">F81-R81-T81</f>
        <v>2</v>
      </c>
      <c r="Y81" s="12"/>
      <c r="Z81" s="12"/>
      <c r="AA81" s="12">
        <v>0</v>
      </c>
      <c r="AB81" s="12">
        <f>((X81*800000)+(Y81*800000)+(Z81*600000)+(AA81*400000))</f>
        <v>1600000</v>
      </c>
      <c r="AC81" s="12">
        <f t="shared" ref="AC81:AC85" si="127">W81*33000</f>
        <v>66000</v>
      </c>
      <c r="AD81" s="12">
        <f>W81*5000</f>
        <v>10000</v>
      </c>
      <c r="AE81" s="12"/>
      <c r="AF81" s="12"/>
      <c r="AG81" s="12">
        <f t="shared" ref="AG81:AG85" si="128">SUM(AB81:AD81)</f>
        <v>1676000</v>
      </c>
    </row>
    <row r="82" spans="2:33">
      <c r="B82" s="13" t="s">
        <v>24</v>
      </c>
      <c r="C82" s="39"/>
      <c r="D82" s="39"/>
      <c r="E82" s="39"/>
      <c r="F82" s="37">
        <f t="shared" si="123"/>
        <v>0</v>
      </c>
      <c r="G82" s="47"/>
      <c r="H82" s="47"/>
      <c r="I82" s="47"/>
      <c r="J82" s="47"/>
      <c r="K82" s="47"/>
      <c r="L82" s="47"/>
      <c r="M82" s="47"/>
      <c r="N82" s="47"/>
      <c r="O82" s="47"/>
      <c r="P82" s="46">
        <f t="shared" ref="P82:P103" si="129">SUM(G82:O82)</f>
        <v>0</v>
      </c>
      <c r="Q82" s="35">
        <f t="shared" si="124"/>
        <v>0</v>
      </c>
      <c r="R82" s="12"/>
      <c r="S82" s="12"/>
      <c r="T82" s="12"/>
      <c r="U82" s="12"/>
      <c r="V82" s="28"/>
      <c r="W82" s="12">
        <f t="shared" si="125"/>
        <v>0</v>
      </c>
      <c r="X82" s="12">
        <f t="shared" si="126"/>
        <v>0</v>
      </c>
      <c r="Y82" s="12"/>
      <c r="Z82" s="12"/>
      <c r="AA82" s="12"/>
      <c r="AB82" s="12">
        <f t="shared" ref="AB82:AB85" si="130">((X82*800000)+(Y82*800000)+(Z82*600000)+(AA82*400000))</f>
        <v>0</v>
      </c>
      <c r="AC82" s="12">
        <f t="shared" si="127"/>
        <v>0</v>
      </c>
      <c r="AD82" s="12">
        <f t="shared" ref="AD82" si="131">W82*5000</f>
        <v>0</v>
      </c>
      <c r="AE82" s="12"/>
      <c r="AF82" s="12"/>
      <c r="AG82" s="12">
        <f t="shared" si="128"/>
        <v>0</v>
      </c>
    </row>
    <row r="83" spans="2:33">
      <c r="B83" s="13" t="s">
        <v>25</v>
      </c>
      <c r="C83" s="39"/>
      <c r="D83" s="39"/>
      <c r="E83" s="39"/>
      <c r="F83" s="37">
        <f t="shared" si="123"/>
        <v>0</v>
      </c>
      <c r="G83" s="47"/>
      <c r="H83" s="47"/>
      <c r="I83" s="47"/>
      <c r="J83" s="47"/>
      <c r="K83" s="47"/>
      <c r="L83" s="47"/>
      <c r="M83" s="47"/>
      <c r="N83" s="47"/>
      <c r="O83" s="47"/>
      <c r="P83" s="46">
        <f t="shared" si="129"/>
        <v>0</v>
      </c>
      <c r="Q83" s="35">
        <f t="shared" si="124"/>
        <v>0</v>
      </c>
      <c r="R83" s="12"/>
      <c r="S83" s="12"/>
      <c r="T83" s="12"/>
      <c r="U83" s="12"/>
      <c r="V83" s="28"/>
      <c r="W83" s="12">
        <f>Q83-SUM(R83:V83)</f>
        <v>0</v>
      </c>
      <c r="X83" s="12">
        <f t="shared" si="126"/>
        <v>0</v>
      </c>
      <c r="Y83" s="12"/>
      <c r="Z83" s="12"/>
      <c r="AA83" s="12"/>
      <c r="AB83" s="12">
        <f t="shared" si="130"/>
        <v>0</v>
      </c>
      <c r="AC83" s="12">
        <f t="shared" si="127"/>
        <v>0</v>
      </c>
      <c r="AD83" s="12">
        <f>(Y83+Z83+AA83)*5000</f>
        <v>0</v>
      </c>
      <c r="AE83" s="12"/>
      <c r="AF83" s="12"/>
      <c r="AG83" s="12">
        <f t="shared" si="128"/>
        <v>0</v>
      </c>
    </row>
    <row r="84" spans="2:33">
      <c r="B84" s="13" t="s">
        <v>26</v>
      </c>
      <c r="C84" s="39"/>
      <c r="D84" s="39"/>
      <c r="E84" s="39"/>
      <c r="F84" s="37">
        <f t="shared" si="123"/>
        <v>0</v>
      </c>
      <c r="G84" s="47"/>
      <c r="H84" s="47"/>
      <c r="I84" s="47"/>
      <c r="J84" s="47"/>
      <c r="K84" s="47"/>
      <c r="L84" s="47"/>
      <c r="M84" s="47"/>
      <c r="N84" s="47"/>
      <c r="O84" s="47"/>
      <c r="P84" s="46">
        <f t="shared" si="129"/>
        <v>0</v>
      </c>
      <c r="Q84" s="35">
        <f t="shared" si="124"/>
        <v>0</v>
      </c>
      <c r="R84" s="12"/>
      <c r="S84" s="12"/>
      <c r="T84" s="12"/>
      <c r="U84" s="12"/>
      <c r="V84" s="28"/>
      <c r="W84" s="12">
        <f t="shared" si="125"/>
        <v>0</v>
      </c>
      <c r="X84" s="12">
        <f t="shared" si="126"/>
        <v>0</v>
      </c>
      <c r="Y84" s="12"/>
      <c r="Z84" s="12"/>
      <c r="AA84" s="12"/>
      <c r="AB84" s="12">
        <f t="shared" si="130"/>
        <v>0</v>
      </c>
      <c r="AC84" s="12">
        <f t="shared" si="127"/>
        <v>0</v>
      </c>
      <c r="AD84" s="12"/>
      <c r="AE84" s="12"/>
      <c r="AF84" s="12"/>
      <c r="AG84" s="12">
        <f t="shared" si="128"/>
        <v>0</v>
      </c>
    </row>
    <row r="85" spans="2:33">
      <c r="B85" s="13" t="s">
        <v>22</v>
      </c>
      <c r="C85" s="39"/>
      <c r="D85" s="39"/>
      <c r="E85" s="39"/>
      <c r="F85" s="37">
        <f t="shared" si="123"/>
        <v>0</v>
      </c>
      <c r="G85" s="47"/>
      <c r="H85" s="47"/>
      <c r="I85" s="47"/>
      <c r="J85" s="47"/>
      <c r="K85" s="47"/>
      <c r="L85" s="47"/>
      <c r="M85" s="47"/>
      <c r="N85" s="47"/>
      <c r="O85" s="47"/>
      <c r="P85" s="46">
        <f t="shared" si="129"/>
        <v>0</v>
      </c>
      <c r="Q85" s="35">
        <f t="shared" si="124"/>
        <v>0</v>
      </c>
      <c r="R85" s="12"/>
      <c r="S85" s="12"/>
      <c r="T85" s="12"/>
      <c r="U85" s="12"/>
      <c r="V85" s="28"/>
      <c r="W85" s="12">
        <f t="shared" si="125"/>
        <v>0</v>
      </c>
      <c r="X85" s="12">
        <f t="shared" si="126"/>
        <v>0</v>
      </c>
      <c r="Y85" s="12"/>
      <c r="Z85" s="12"/>
      <c r="AA85" s="12"/>
      <c r="AB85" s="12">
        <f t="shared" si="130"/>
        <v>0</v>
      </c>
      <c r="AC85" s="12">
        <f t="shared" si="127"/>
        <v>0</v>
      </c>
      <c r="AD85" s="12"/>
      <c r="AE85" s="12">
        <f>W85*30000</f>
        <v>0</v>
      </c>
      <c r="AF85" s="12">
        <f>W85*150000</f>
        <v>0</v>
      </c>
      <c r="AG85" s="12">
        <f t="shared" si="128"/>
        <v>0</v>
      </c>
    </row>
    <row r="86" spans="2:33">
      <c r="B86" s="13" t="s">
        <v>45</v>
      </c>
      <c r="C86" s="39"/>
      <c r="D86" s="39"/>
      <c r="E86" s="39"/>
      <c r="F86" s="37">
        <f t="shared" si="123"/>
        <v>0</v>
      </c>
      <c r="G86" s="47"/>
      <c r="H86" s="47"/>
      <c r="I86" s="47"/>
      <c r="J86" s="47"/>
      <c r="K86" s="47"/>
      <c r="L86" s="47"/>
      <c r="M86" s="47"/>
      <c r="N86" s="47"/>
      <c r="O86" s="47"/>
      <c r="P86" s="46">
        <f t="shared" si="129"/>
        <v>0</v>
      </c>
      <c r="Q86" s="35">
        <f t="shared" si="124"/>
        <v>0</v>
      </c>
      <c r="R86" s="12"/>
      <c r="S86" s="12"/>
      <c r="T86" s="12"/>
      <c r="U86" s="12"/>
      <c r="V86" s="28"/>
      <c r="W86" s="12">
        <f t="shared" si="125"/>
        <v>0</v>
      </c>
      <c r="X86" s="12">
        <f t="shared" si="126"/>
        <v>0</v>
      </c>
      <c r="Y86" s="12"/>
      <c r="Z86" s="12"/>
      <c r="AA86" s="12"/>
      <c r="AB86" s="12"/>
      <c r="AC86" s="12"/>
      <c r="AD86" s="12"/>
      <c r="AE86" s="12"/>
      <c r="AF86" s="12"/>
      <c r="AG86" s="12"/>
    </row>
    <row r="87" spans="2:33">
      <c r="B87" s="57" t="s">
        <v>46</v>
      </c>
      <c r="C87" s="57">
        <f>SUM(C81:C86)</f>
        <v>83</v>
      </c>
      <c r="D87" s="57">
        <f>SUM(D81:D86)</f>
        <v>0</v>
      </c>
      <c r="E87" s="57"/>
      <c r="F87" s="57">
        <f>SUM(F81:F86)</f>
        <v>83</v>
      </c>
      <c r="G87" s="57">
        <f t="shared" ref="G87:AG87" si="132">SUM(G81:G86)</f>
        <v>0</v>
      </c>
      <c r="H87" s="57">
        <f t="shared" si="132"/>
        <v>0</v>
      </c>
      <c r="I87" s="57">
        <f t="shared" si="132"/>
        <v>0</v>
      </c>
      <c r="J87" s="57">
        <f t="shared" si="132"/>
        <v>60</v>
      </c>
      <c r="K87" s="57">
        <f t="shared" si="132"/>
        <v>0</v>
      </c>
      <c r="L87" s="57">
        <f t="shared" si="132"/>
        <v>0</v>
      </c>
      <c r="M87" s="57">
        <f t="shared" si="132"/>
        <v>10</v>
      </c>
      <c r="N87" s="57">
        <f t="shared" si="132"/>
        <v>0</v>
      </c>
      <c r="O87" s="57">
        <f t="shared" si="132"/>
        <v>0</v>
      </c>
      <c r="P87" s="57">
        <f t="shared" si="132"/>
        <v>70</v>
      </c>
      <c r="Q87" s="57">
        <f t="shared" si="132"/>
        <v>153</v>
      </c>
      <c r="R87" s="57">
        <f t="shared" si="132"/>
        <v>81</v>
      </c>
      <c r="S87" s="57">
        <f t="shared" ref="S87" si="133">SUM(S81:S86)</f>
        <v>50</v>
      </c>
      <c r="T87" s="57">
        <f t="shared" ref="T87" si="134">SUM(T81:T86)</f>
        <v>0</v>
      </c>
      <c r="U87" s="57">
        <f t="shared" ref="U87" si="135">SUM(U81:U86)</f>
        <v>20</v>
      </c>
      <c r="V87" s="57">
        <f t="shared" ref="V87" si="136">SUM(V81:V86)</f>
        <v>0</v>
      </c>
      <c r="W87" s="57">
        <f t="shared" ref="W87:AA87" si="137">SUM(W81:W86)</f>
        <v>2</v>
      </c>
      <c r="X87" s="57">
        <f>SUM(X81:X86)</f>
        <v>2</v>
      </c>
      <c r="Y87" s="57">
        <f t="shared" si="137"/>
        <v>0</v>
      </c>
      <c r="Z87" s="57">
        <f t="shared" si="137"/>
        <v>0</v>
      </c>
      <c r="AA87" s="57">
        <f t="shared" si="137"/>
        <v>0</v>
      </c>
      <c r="AB87" s="57">
        <f t="shared" ref="AB87" si="138">SUM(AB81:AB86)</f>
        <v>1600000</v>
      </c>
      <c r="AC87" s="57">
        <f t="shared" ref="AC87" si="139">SUM(AC81:AC86)</f>
        <v>66000</v>
      </c>
      <c r="AD87" s="57">
        <f t="shared" si="132"/>
        <v>10000</v>
      </c>
      <c r="AE87" s="57">
        <f t="shared" si="132"/>
        <v>0</v>
      </c>
      <c r="AF87" s="57">
        <f t="shared" si="132"/>
        <v>0</v>
      </c>
      <c r="AG87" s="57">
        <f t="shared" si="132"/>
        <v>1676000</v>
      </c>
    </row>
    <row r="88" spans="2:33">
      <c r="B88" s="31" t="s">
        <v>70</v>
      </c>
      <c r="C88" s="40"/>
      <c r="D88" s="41"/>
      <c r="E88" s="41"/>
      <c r="F88" s="37"/>
      <c r="G88" s="47"/>
      <c r="H88" s="47"/>
      <c r="I88" s="47"/>
      <c r="J88" s="47"/>
      <c r="K88" s="47"/>
      <c r="L88" s="47"/>
      <c r="M88" s="47"/>
      <c r="N88" s="47"/>
      <c r="O88" s="47"/>
      <c r="P88" s="46"/>
      <c r="Q88" s="35"/>
      <c r="R88" s="12"/>
      <c r="S88" s="12"/>
      <c r="T88" s="12"/>
      <c r="U88" s="12"/>
      <c r="V88" s="28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</row>
    <row r="89" spans="2:33">
      <c r="B89" s="13" t="s">
        <v>23</v>
      </c>
      <c r="C89" s="39">
        <f>100+100</f>
        <v>200</v>
      </c>
      <c r="D89" s="39"/>
      <c r="E89" s="39"/>
      <c r="F89" s="37">
        <f t="shared" si="123"/>
        <v>200</v>
      </c>
      <c r="G89" s="47"/>
      <c r="H89" s="47"/>
      <c r="I89" s="47"/>
      <c r="J89" s="47">
        <f>120+10</f>
        <v>130</v>
      </c>
      <c r="K89" s="47"/>
      <c r="L89" s="47"/>
      <c r="M89" s="47">
        <v>10</v>
      </c>
      <c r="N89" s="47"/>
      <c r="O89" s="47"/>
      <c r="P89" s="46">
        <f t="shared" si="129"/>
        <v>140</v>
      </c>
      <c r="Q89" s="35">
        <f t="shared" ref="Q89:Q94" si="140">F89+P89</f>
        <v>340</v>
      </c>
      <c r="R89" s="12">
        <v>200</v>
      </c>
      <c r="S89" s="12">
        <v>100</v>
      </c>
      <c r="T89" s="12"/>
      <c r="U89" s="12">
        <v>40</v>
      </c>
      <c r="V89" s="28"/>
      <c r="W89" s="12">
        <f t="shared" ref="W89:W94" si="141">Q89-SUM(R89:V89)</f>
        <v>0</v>
      </c>
      <c r="X89" s="12">
        <f t="shared" ref="X89:X94" si="142">F89-R89-T89</f>
        <v>0</v>
      </c>
      <c r="Y89" s="12"/>
      <c r="Z89" s="12"/>
      <c r="AA89" s="12"/>
      <c r="AB89" s="12">
        <f>((X89*720000)+(Y89*720000)+(Z89*540000)+(AA89*360000))</f>
        <v>0</v>
      </c>
      <c r="AC89" s="12">
        <f t="shared" ref="AC89:AC94" si="143">W89*33000</f>
        <v>0</v>
      </c>
      <c r="AD89" s="12"/>
      <c r="AE89" s="12"/>
      <c r="AF89" s="12"/>
      <c r="AG89" s="12">
        <f t="shared" ref="AG89:AG94" si="144">SUM(AB89:AD89)</f>
        <v>0</v>
      </c>
    </row>
    <row r="90" spans="2:33">
      <c r="B90" s="13" t="s">
        <v>24</v>
      </c>
      <c r="C90" s="39"/>
      <c r="D90" s="39"/>
      <c r="E90" s="39"/>
      <c r="F90" s="37">
        <f t="shared" si="123"/>
        <v>0</v>
      </c>
      <c r="G90" s="47"/>
      <c r="H90" s="47"/>
      <c r="I90" s="47"/>
      <c r="J90" s="47"/>
      <c r="K90" s="47"/>
      <c r="L90" s="47"/>
      <c r="M90" s="47"/>
      <c r="N90" s="47"/>
      <c r="O90" s="47"/>
      <c r="P90" s="46">
        <f t="shared" si="129"/>
        <v>0</v>
      </c>
      <c r="Q90" s="35">
        <f t="shared" si="140"/>
        <v>0</v>
      </c>
      <c r="R90" s="12"/>
      <c r="S90" s="12"/>
      <c r="T90" s="12"/>
      <c r="U90" s="12"/>
      <c r="V90" s="28"/>
      <c r="W90" s="12">
        <f t="shared" si="141"/>
        <v>0</v>
      </c>
      <c r="X90" s="12">
        <f t="shared" si="142"/>
        <v>0</v>
      </c>
      <c r="Y90" s="12"/>
      <c r="Z90" s="12"/>
      <c r="AA90" s="12"/>
      <c r="AB90" s="12">
        <f t="shared" ref="AB90:AB94" si="145">((X90*720000)+(Y90*720000)+(Z90*540000)+(AA90*360000))</f>
        <v>0</v>
      </c>
      <c r="AC90" s="12">
        <f t="shared" si="143"/>
        <v>0</v>
      </c>
      <c r="AD90" s="12"/>
      <c r="AE90" s="12"/>
      <c r="AF90" s="12"/>
      <c r="AG90" s="12">
        <f t="shared" si="144"/>
        <v>0</v>
      </c>
    </row>
    <row r="91" spans="2:33">
      <c r="B91" s="13" t="s">
        <v>25</v>
      </c>
      <c r="C91" s="39"/>
      <c r="D91" s="39"/>
      <c r="E91" s="39"/>
      <c r="F91" s="37">
        <f t="shared" si="123"/>
        <v>0</v>
      </c>
      <c r="G91" s="47"/>
      <c r="H91" s="47"/>
      <c r="I91" s="47"/>
      <c r="J91" s="47"/>
      <c r="K91" s="47"/>
      <c r="L91" s="47"/>
      <c r="M91" s="47"/>
      <c r="N91" s="47"/>
      <c r="O91" s="47"/>
      <c r="P91" s="46">
        <f t="shared" si="129"/>
        <v>0</v>
      </c>
      <c r="Q91" s="35">
        <f t="shared" si="140"/>
        <v>0</v>
      </c>
      <c r="R91" s="12"/>
      <c r="S91" s="12"/>
      <c r="T91" s="12"/>
      <c r="U91" s="12"/>
      <c r="V91" s="28"/>
      <c r="W91" s="12">
        <f t="shared" si="141"/>
        <v>0</v>
      </c>
      <c r="X91" s="12">
        <f t="shared" si="142"/>
        <v>0</v>
      </c>
      <c r="Y91" s="12"/>
      <c r="Z91" s="12">
        <v>10</v>
      </c>
      <c r="AA91" s="12">
        <v>10</v>
      </c>
      <c r="AB91" s="12">
        <f t="shared" si="145"/>
        <v>9000000</v>
      </c>
      <c r="AC91" s="12">
        <f t="shared" si="143"/>
        <v>0</v>
      </c>
      <c r="AD91" s="12">
        <f>(Y91+Z91+AA91)*5000</f>
        <v>100000</v>
      </c>
      <c r="AE91" s="12"/>
      <c r="AF91" s="12"/>
      <c r="AG91" s="12">
        <f t="shared" si="144"/>
        <v>9100000</v>
      </c>
    </row>
    <row r="92" spans="2:33">
      <c r="B92" s="13" t="s">
        <v>26</v>
      </c>
      <c r="C92" s="39"/>
      <c r="D92" s="39"/>
      <c r="E92" s="39"/>
      <c r="F92" s="37">
        <f t="shared" si="123"/>
        <v>0</v>
      </c>
      <c r="G92" s="47"/>
      <c r="H92" s="47"/>
      <c r="I92" s="47"/>
      <c r="J92" s="47"/>
      <c r="K92" s="47"/>
      <c r="L92" s="47"/>
      <c r="M92" s="47"/>
      <c r="N92" s="47"/>
      <c r="O92" s="47"/>
      <c r="P92" s="46">
        <f t="shared" si="129"/>
        <v>0</v>
      </c>
      <c r="Q92" s="35">
        <f t="shared" si="140"/>
        <v>0</v>
      </c>
      <c r="R92" s="12"/>
      <c r="S92" s="12"/>
      <c r="T92" s="12"/>
      <c r="U92" s="12"/>
      <c r="V92" s="28"/>
      <c r="W92" s="12">
        <f t="shared" si="141"/>
        <v>0</v>
      </c>
      <c r="X92" s="12">
        <f t="shared" si="142"/>
        <v>0</v>
      </c>
      <c r="Y92" s="12"/>
      <c r="Z92" s="12"/>
      <c r="AA92" s="12"/>
      <c r="AB92" s="12">
        <f t="shared" si="145"/>
        <v>0</v>
      </c>
      <c r="AC92" s="12">
        <f t="shared" si="143"/>
        <v>0</v>
      </c>
      <c r="AD92" s="12"/>
      <c r="AE92" s="12"/>
      <c r="AF92" s="12"/>
      <c r="AG92" s="12">
        <f t="shared" si="144"/>
        <v>0</v>
      </c>
    </row>
    <row r="93" spans="2:33">
      <c r="B93" s="13" t="s">
        <v>22</v>
      </c>
      <c r="C93" s="39"/>
      <c r="D93" s="39"/>
      <c r="E93" s="39"/>
      <c r="F93" s="37">
        <f t="shared" si="123"/>
        <v>0</v>
      </c>
      <c r="G93" s="47"/>
      <c r="H93" s="47"/>
      <c r="I93" s="47"/>
      <c r="J93" s="47"/>
      <c r="K93" s="47"/>
      <c r="L93" s="47"/>
      <c r="M93" s="47"/>
      <c r="N93" s="47"/>
      <c r="O93" s="47"/>
      <c r="P93" s="46">
        <f t="shared" si="129"/>
        <v>0</v>
      </c>
      <c r="Q93" s="35">
        <f t="shared" si="140"/>
        <v>0</v>
      </c>
      <c r="R93" s="12"/>
      <c r="S93" s="12"/>
      <c r="T93" s="12"/>
      <c r="U93" s="12"/>
      <c r="V93" s="28"/>
      <c r="W93" s="12">
        <f t="shared" si="141"/>
        <v>0</v>
      </c>
      <c r="X93" s="12">
        <f t="shared" si="142"/>
        <v>0</v>
      </c>
      <c r="Y93" s="12"/>
      <c r="Z93" s="12"/>
      <c r="AA93" s="12"/>
      <c r="AB93" s="12">
        <f t="shared" si="145"/>
        <v>0</v>
      </c>
      <c r="AC93" s="12">
        <f t="shared" si="143"/>
        <v>0</v>
      </c>
      <c r="AD93" s="12"/>
      <c r="AE93" s="12">
        <f>W93*30000</f>
        <v>0</v>
      </c>
      <c r="AF93" s="12">
        <f>W93*150000</f>
        <v>0</v>
      </c>
      <c r="AG93" s="12">
        <f t="shared" si="144"/>
        <v>0</v>
      </c>
    </row>
    <row r="94" spans="2:33">
      <c r="B94" s="13" t="s">
        <v>45</v>
      </c>
      <c r="C94" s="39"/>
      <c r="D94" s="39"/>
      <c r="E94" s="39"/>
      <c r="F94" s="37">
        <f t="shared" si="123"/>
        <v>0</v>
      </c>
      <c r="G94" s="47"/>
      <c r="H94" s="47"/>
      <c r="I94" s="47"/>
      <c r="J94" s="47"/>
      <c r="K94" s="47"/>
      <c r="L94" s="47"/>
      <c r="M94" s="47"/>
      <c r="N94" s="47"/>
      <c r="O94" s="47"/>
      <c r="P94" s="46">
        <f t="shared" si="129"/>
        <v>0</v>
      </c>
      <c r="Q94" s="35">
        <f t="shared" si="140"/>
        <v>0</v>
      </c>
      <c r="R94" s="12"/>
      <c r="S94" s="12"/>
      <c r="T94" s="12"/>
      <c r="U94" s="12"/>
      <c r="V94" s="28"/>
      <c r="W94" s="12">
        <f t="shared" si="141"/>
        <v>0</v>
      </c>
      <c r="X94" s="12">
        <f t="shared" si="142"/>
        <v>0</v>
      </c>
      <c r="Y94" s="12"/>
      <c r="Z94" s="12"/>
      <c r="AA94" s="12"/>
      <c r="AB94" s="12">
        <f t="shared" si="145"/>
        <v>0</v>
      </c>
      <c r="AC94" s="12">
        <f t="shared" si="143"/>
        <v>0</v>
      </c>
      <c r="AD94" s="12"/>
      <c r="AE94" s="12"/>
      <c r="AF94" s="12"/>
      <c r="AG94" s="12">
        <f t="shared" si="144"/>
        <v>0</v>
      </c>
    </row>
    <row r="95" spans="2:33">
      <c r="B95" s="57" t="s">
        <v>46</v>
      </c>
      <c r="C95" s="57">
        <f>SUM(C89:C94)</f>
        <v>200</v>
      </c>
      <c r="D95" s="57">
        <f>SUM(D89:D94)</f>
        <v>0</v>
      </c>
      <c r="E95" s="57"/>
      <c r="F95" s="57">
        <f>SUM(F89:F94)</f>
        <v>200</v>
      </c>
      <c r="G95" s="57">
        <f t="shared" ref="G95:AG95" si="146">SUM(G89:G94)</f>
        <v>0</v>
      </c>
      <c r="H95" s="57">
        <f t="shared" si="146"/>
        <v>0</v>
      </c>
      <c r="I95" s="57">
        <f t="shared" si="146"/>
        <v>0</v>
      </c>
      <c r="J95" s="57">
        <f t="shared" si="146"/>
        <v>130</v>
      </c>
      <c r="K95" s="57">
        <f t="shared" si="146"/>
        <v>0</v>
      </c>
      <c r="L95" s="57">
        <f t="shared" si="146"/>
        <v>0</v>
      </c>
      <c r="M95" s="57">
        <f t="shared" si="146"/>
        <v>10</v>
      </c>
      <c r="N95" s="57">
        <f t="shared" si="146"/>
        <v>0</v>
      </c>
      <c r="O95" s="57">
        <f t="shared" si="146"/>
        <v>0</v>
      </c>
      <c r="P95" s="57">
        <f t="shared" si="146"/>
        <v>140</v>
      </c>
      <c r="Q95" s="57">
        <f t="shared" si="146"/>
        <v>340</v>
      </c>
      <c r="R95" s="57">
        <f t="shared" si="146"/>
        <v>200</v>
      </c>
      <c r="S95" s="57">
        <f t="shared" ref="S95" si="147">SUM(S89:S94)</f>
        <v>100</v>
      </c>
      <c r="T95" s="57">
        <f t="shared" ref="T95" si="148">SUM(T89:T94)</f>
        <v>0</v>
      </c>
      <c r="U95" s="57">
        <f t="shared" ref="U95" si="149">SUM(U89:U94)</f>
        <v>40</v>
      </c>
      <c r="V95" s="57">
        <f t="shared" ref="V95" si="150">SUM(V89:V94)</f>
        <v>0</v>
      </c>
      <c r="W95" s="57">
        <f t="shared" ref="W95:AA95" si="151">SUM(W89:W94)</f>
        <v>0</v>
      </c>
      <c r="X95" s="57">
        <f t="shared" si="151"/>
        <v>0</v>
      </c>
      <c r="Y95" s="57">
        <f t="shared" si="151"/>
        <v>0</v>
      </c>
      <c r="Z95" s="57">
        <f t="shared" si="151"/>
        <v>10</v>
      </c>
      <c r="AA95" s="57">
        <f t="shared" si="151"/>
        <v>10</v>
      </c>
      <c r="AB95" s="57">
        <f t="shared" ref="AB95" si="152">SUM(AB89:AB94)</f>
        <v>9000000</v>
      </c>
      <c r="AC95" s="57">
        <f t="shared" ref="AC95" si="153">SUM(AC89:AC94)</f>
        <v>0</v>
      </c>
      <c r="AD95" s="57">
        <f t="shared" si="146"/>
        <v>100000</v>
      </c>
      <c r="AE95" s="57">
        <f t="shared" si="146"/>
        <v>0</v>
      </c>
      <c r="AF95" s="57">
        <f t="shared" si="146"/>
        <v>0</v>
      </c>
      <c r="AG95" s="57">
        <f t="shared" si="146"/>
        <v>9100000</v>
      </c>
    </row>
    <row r="96" spans="2:33">
      <c r="B96" s="25" t="s">
        <v>87</v>
      </c>
      <c r="C96" s="53"/>
      <c r="D96" s="25"/>
      <c r="E96" s="25"/>
      <c r="F96" s="25">
        <f>F95+F87+F79+F71</f>
        <v>349</v>
      </c>
      <c r="G96" s="25">
        <f t="shared" ref="G96:AG96" si="154">G95+G87+G79+G71</f>
        <v>0</v>
      </c>
      <c r="H96" s="25">
        <f t="shared" si="154"/>
        <v>0</v>
      </c>
      <c r="I96" s="25">
        <f t="shared" si="154"/>
        <v>0</v>
      </c>
      <c r="J96" s="25">
        <f t="shared" si="154"/>
        <v>210</v>
      </c>
      <c r="K96" s="25">
        <f t="shared" si="154"/>
        <v>0</v>
      </c>
      <c r="L96" s="25">
        <f t="shared" si="154"/>
        <v>0</v>
      </c>
      <c r="M96" s="25">
        <f t="shared" si="154"/>
        <v>95</v>
      </c>
      <c r="N96" s="25">
        <f t="shared" si="154"/>
        <v>0</v>
      </c>
      <c r="O96" s="25">
        <f t="shared" si="154"/>
        <v>0</v>
      </c>
      <c r="P96" s="25">
        <f t="shared" si="154"/>
        <v>305</v>
      </c>
      <c r="Q96" s="25">
        <f t="shared" si="154"/>
        <v>654</v>
      </c>
      <c r="R96" s="25">
        <f t="shared" si="154"/>
        <v>286</v>
      </c>
      <c r="S96" s="25">
        <f t="shared" ref="S96" si="155">S95+S87+S79+S71</f>
        <v>150</v>
      </c>
      <c r="T96" s="25">
        <f t="shared" ref="T96" si="156">T95+T87+T79+T71</f>
        <v>0</v>
      </c>
      <c r="U96" s="25">
        <f t="shared" ref="U96" si="157">U95+U87+U79+U71</f>
        <v>140</v>
      </c>
      <c r="V96" s="25">
        <f t="shared" ref="V96" si="158">V95+V87+V79+V71</f>
        <v>0</v>
      </c>
      <c r="W96" s="25">
        <f t="shared" ref="W96:AA96" si="159">W95+W87+W79+W71</f>
        <v>78</v>
      </c>
      <c r="X96" s="25">
        <f t="shared" si="159"/>
        <v>63</v>
      </c>
      <c r="Y96" s="25">
        <f t="shared" si="159"/>
        <v>0</v>
      </c>
      <c r="Z96" s="25">
        <f t="shared" si="159"/>
        <v>20</v>
      </c>
      <c r="AA96" s="25">
        <f t="shared" si="159"/>
        <v>15</v>
      </c>
      <c r="AB96" s="25">
        <f t="shared" ref="AB96" si="160">AB95+AB87+AB79+AB71</f>
        <v>41140000</v>
      </c>
      <c r="AC96" s="25">
        <f t="shared" ref="AC96" si="161">AC95+AC87+AC79+AC71</f>
        <v>2574000</v>
      </c>
      <c r="AD96" s="25">
        <f t="shared" si="154"/>
        <v>185000</v>
      </c>
      <c r="AE96" s="25">
        <f t="shared" si="154"/>
        <v>1350000</v>
      </c>
      <c r="AF96" s="25">
        <f t="shared" si="154"/>
        <v>6750000</v>
      </c>
      <c r="AG96" s="25">
        <f t="shared" si="154"/>
        <v>43899000</v>
      </c>
    </row>
    <row r="97" spans="2:33">
      <c r="B97" s="13" t="s">
        <v>42</v>
      </c>
      <c r="C97" s="42"/>
      <c r="D97" s="39"/>
      <c r="E97" s="39"/>
      <c r="F97" s="37"/>
      <c r="G97" s="47"/>
      <c r="H97" s="47"/>
      <c r="I97" s="47"/>
      <c r="J97" s="47"/>
      <c r="K97" s="47"/>
      <c r="L97" s="47"/>
      <c r="M97" s="47"/>
      <c r="N97" s="47"/>
      <c r="O97" s="47"/>
      <c r="P97" s="46"/>
      <c r="Q97" s="35"/>
      <c r="R97" s="12"/>
      <c r="S97" s="12"/>
      <c r="T97" s="12"/>
      <c r="U97" s="12"/>
      <c r="V97" s="28"/>
      <c r="W97" s="12"/>
      <c r="X97" s="12">
        <f t="shared" ref="X97:X103" si="162">F97-R97-T97</f>
        <v>0</v>
      </c>
      <c r="Y97" s="12"/>
      <c r="Z97" s="12"/>
      <c r="AA97" s="12"/>
      <c r="AB97" s="12"/>
      <c r="AC97" s="12"/>
      <c r="AD97" s="12"/>
      <c r="AE97" s="12"/>
      <c r="AF97" s="12"/>
      <c r="AG97" s="12"/>
    </row>
    <row r="98" spans="2:33">
      <c r="B98" s="13" t="s">
        <v>23</v>
      </c>
      <c r="C98" s="39">
        <v>57</v>
      </c>
      <c r="D98" s="39">
        <v>0</v>
      </c>
      <c r="E98" s="39"/>
      <c r="F98" s="37">
        <f t="shared" si="123"/>
        <v>57</v>
      </c>
      <c r="G98" s="47"/>
      <c r="H98" s="47"/>
      <c r="I98" s="47"/>
      <c r="J98" s="47">
        <v>20</v>
      </c>
      <c r="K98" s="47"/>
      <c r="L98" s="47"/>
      <c r="M98" s="47">
        <v>20</v>
      </c>
      <c r="N98" s="47"/>
      <c r="O98" s="47"/>
      <c r="P98" s="46">
        <f t="shared" si="129"/>
        <v>40</v>
      </c>
      <c r="Q98" s="35">
        <f t="shared" ref="Q98:Q103" si="163">F98+P98</f>
        <v>97</v>
      </c>
      <c r="R98" s="12"/>
      <c r="S98" s="12"/>
      <c r="T98" s="12"/>
      <c r="U98" s="12"/>
      <c r="V98" s="28"/>
      <c r="W98" s="12">
        <f t="shared" ref="W98:W103" si="164">Q98-SUM(R98:V98)</f>
        <v>97</v>
      </c>
      <c r="X98" s="12">
        <f t="shared" si="162"/>
        <v>57</v>
      </c>
      <c r="Y98" s="12"/>
      <c r="Z98" s="12">
        <v>20</v>
      </c>
      <c r="AA98" s="12">
        <v>20</v>
      </c>
      <c r="AB98" s="12">
        <f>((X98*500000)+(Y98*500000)+(Z98*375000)+(AA98*250000))</f>
        <v>41000000</v>
      </c>
      <c r="AC98" s="12">
        <f t="shared" ref="AC98:AC102" si="165">W98*33000</f>
        <v>3201000</v>
      </c>
      <c r="AD98" s="12">
        <f>W98*5000</f>
        <v>485000</v>
      </c>
      <c r="AE98" s="12"/>
      <c r="AF98" s="12"/>
      <c r="AG98" s="12">
        <f t="shared" ref="AG98:AG103" si="166">SUM(AB98:AD98)</f>
        <v>44686000</v>
      </c>
    </row>
    <row r="99" spans="2:33">
      <c r="B99" s="13" t="s">
        <v>24</v>
      </c>
      <c r="C99" s="39">
        <v>0</v>
      </c>
      <c r="D99" s="39">
        <v>0</v>
      </c>
      <c r="E99" s="39"/>
      <c r="F99" s="37">
        <f t="shared" si="123"/>
        <v>0</v>
      </c>
      <c r="G99" s="47"/>
      <c r="H99" s="47"/>
      <c r="I99" s="47"/>
      <c r="J99" s="47"/>
      <c r="K99" s="47"/>
      <c r="L99" s="47"/>
      <c r="M99" s="47"/>
      <c r="N99" s="47"/>
      <c r="O99" s="47"/>
      <c r="P99" s="46">
        <f t="shared" si="129"/>
        <v>0</v>
      </c>
      <c r="Q99" s="35">
        <f t="shared" si="163"/>
        <v>0</v>
      </c>
      <c r="R99" s="12"/>
      <c r="S99" s="12"/>
      <c r="T99" s="12"/>
      <c r="U99" s="12"/>
      <c r="V99" s="28"/>
      <c r="W99" s="12">
        <f t="shared" si="164"/>
        <v>0</v>
      </c>
      <c r="X99" s="12">
        <f t="shared" si="162"/>
        <v>0</v>
      </c>
      <c r="Y99" s="12"/>
      <c r="Z99" s="12"/>
      <c r="AA99" s="12"/>
      <c r="AB99" s="12">
        <f t="shared" ref="AB99:AB102" si="167">((X99*500000)+(Y99*500000)+(Z99*375000)+(AA99*250000))</f>
        <v>0</v>
      </c>
      <c r="AC99" s="12">
        <f t="shared" si="165"/>
        <v>0</v>
      </c>
      <c r="AD99" s="12"/>
      <c r="AE99" s="12"/>
      <c r="AF99" s="12"/>
      <c r="AG99" s="12">
        <f t="shared" si="166"/>
        <v>0</v>
      </c>
    </row>
    <row r="100" spans="2:33">
      <c r="B100" s="13" t="s">
        <v>25</v>
      </c>
      <c r="C100" s="39">
        <v>30</v>
      </c>
      <c r="D100" s="39">
        <v>0</v>
      </c>
      <c r="E100" s="39"/>
      <c r="F100" s="37">
        <f t="shared" si="123"/>
        <v>30</v>
      </c>
      <c r="G100" s="47"/>
      <c r="H100" s="47"/>
      <c r="I100" s="47"/>
      <c r="J100" s="47"/>
      <c r="K100" s="47"/>
      <c r="L100" s="47"/>
      <c r="M100" s="47"/>
      <c r="N100" s="47"/>
      <c r="O100" s="47"/>
      <c r="P100" s="46">
        <f t="shared" si="129"/>
        <v>0</v>
      </c>
      <c r="Q100" s="35">
        <f t="shared" si="163"/>
        <v>30</v>
      </c>
      <c r="R100" s="12"/>
      <c r="S100" s="12"/>
      <c r="T100" s="12"/>
      <c r="U100" s="12"/>
      <c r="V100" s="28"/>
      <c r="W100" s="12">
        <f t="shared" si="164"/>
        <v>30</v>
      </c>
      <c r="X100" s="12">
        <f t="shared" si="162"/>
        <v>30</v>
      </c>
      <c r="Y100" s="12"/>
      <c r="Z100" s="12"/>
      <c r="AA100" s="12"/>
      <c r="AB100" s="12">
        <f t="shared" si="167"/>
        <v>15000000</v>
      </c>
      <c r="AC100" s="12">
        <f t="shared" si="165"/>
        <v>990000</v>
      </c>
      <c r="AD100" s="12">
        <f>(Y100+Z100+AA100)*5000</f>
        <v>0</v>
      </c>
      <c r="AE100" s="12"/>
      <c r="AF100" s="12"/>
      <c r="AG100" s="12">
        <f t="shared" si="166"/>
        <v>15990000</v>
      </c>
    </row>
    <row r="101" spans="2:33">
      <c r="B101" s="13" t="s">
        <v>26</v>
      </c>
      <c r="C101" s="39">
        <v>32</v>
      </c>
      <c r="D101" s="39">
        <v>0</v>
      </c>
      <c r="E101" s="39"/>
      <c r="F101" s="37">
        <f t="shared" si="123"/>
        <v>32</v>
      </c>
      <c r="G101" s="47"/>
      <c r="H101" s="47"/>
      <c r="I101" s="47"/>
      <c r="J101" s="47"/>
      <c r="K101" s="47"/>
      <c r="L101" s="47"/>
      <c r="M101" s="47"/>
      <c r="N101" s="47"/>
      <c r="O101" s="47"/>
      <c r="P101" s="46">
        <f t="shared" si="129"/>
        <v>0</v>
      </c>
      <c r="Q101" s="35">
        <f t="shared" si="163"/>
        <v>32</v>
      </c>
      <c r="R101" s="12"/>
      <c r="S101" s="12"/>
      <c r="T101" s="12"/>
      <c r="U101" s="12"/>
      <c r="V101" s="28"/>
      <c r="W101" s="12">
        <f t="shared" si="164"/>
        <v>32</v>
      </c>
      <c r="X101" s="12">
        <f t="shared" si="162"/>
        <v>32</v>
      </c>
      <c r="Y101" s="12"/>
      <c r="Z101" s="12"/>
      <c r="AA101" s="12"/>
      <c r="AB101" s="12">
        <f t="shared" si="167"/>
        <v>16000000</v>
      </c>
      <c r="AC101" s="12">
        <f t="shared" si="165"/>
        <v>1056000</v>
      </c>
      <c r="AD101" s="12"/>
      <c r="AE101" s="12">
        <f>W101*30000</f>
        <v>960000</v>
      </c>
      <c r="AF101" s="12">
        <f>W101*150000</f>
        <v>4800000</v>
      </c>
      <c r="AG101" s="12">
        <f t="shared" si="166"/>
        <v>17056000</v>
      </c>
    </row>
    <row r="102" spans="2:33">
      <c r="B102" s="13" t="s">
        <v>22</v>
      </c>
      <c r="C102" s="39"/>
      <c r="D102" s="39"/>
      <c r="E102" s="39"/>
      <c r="F102" s="37">
        <f t="shared" si="123"/>
        <v>0</v>
      </c>
      <c r="G102" s="47"/>
      <c r="H102" s="47"/>
      <c r="I102" s="47"/>
      <c r="J102" s="47"/>
      <c r="K102" s="47"/>
      <c r="L102" s="47"/>
      <c r="M102" s="47"/>
      <c r="N102" s="47"/>
      <c r="O102" s="47"/>
      <c r="P102" s="46">
        <f t="shared" si="129"/>
        <v>0</v>
      </c>
      <c r="Q102" s="35">
        <f t="shared" si="163"/>
        <v>0</v>
      </c>
      <c r="R102" s="12"/>
      <c r="S102" s="12"/>
      <c r="T102" s="12"/>
      <c r="U102" s="12"/>
      <c r="V102" s="28"/>
      <c r="W102" s="12">
        <f t="shared" si="164"/>
        <v>0</v>
      </c>
      <c r="X102" s="12">
        <f t="shared" si="162"/>
        <v>0</v>
      </c>
      <c r="Y102" s="12"/>
      <c r="Z102" s="12"/>
      <c r="AA102" s="12"/>
      <c r="AB102" s="12">
        <f t="shared" si="167"/>
        <v>0</v>
      </c>
      <c r="AC102" s="12">
        <f t="shared" si="165"/>
        <v>0</v>
      </c>
      <c r="AD102" s="12"/>
      <c r="AE102" s="12"/>
      <c r="AF102" s="12"/>
      <c r="AG102" s="12">
        <f t="shared" si="166"/>
        <v>0</v>
      </c>
    </row>
    <row r="103" spans="2:33" s="78" customFormat="1">
      <c r="B103" s="22" t="s">
        <v>45</v>
      </c>
      <c r="C103" s="43">
        <v>1</v>
      </c>
      <c r="D103" s="43"/>
      <c r="E103" s="43"/>
      <c r="F103" s="43">
        <f t="shared" si="123"/>
        <v>1</v>
      </c>
      <c r="G103" s="64"/>
      <c r="H103" s="64"/>
      <c r="I103" s="64"/>
      <c r="J103" s="64"/>
      <c r="K103" s="64"/>
      <c r="L103" s="64"/>
      <c r="M103" s="64"/>
      <c r="N103" s="64"/>
      <c r="O103" s="64"/>
      <c r="P103" s="64">
        <f t="shared" si="129"/>
        <v>0</v>
      </c>
      <c r="Q103" s="22">
        <f t="shared" si="163"/>
        <v>1</v>
      </c>
      <c r="R103" s="22"/>
      <c r="S103" s="22"/>
      <c r="T103" s="22"/>
      <c r="U103" s="22"/>
      <c r="V103" s="79"/>
      <c r="W103" s="22">
        <f t="shared" si="164"/>
        <v>1</v>
      </c>
      <c r="X103" s="22">
        <f t="shared" si="162"/>
        <v>1</v>
      </c>
      <c r="Y103" s="22"/>
      <c r="Z103" s="22"/>
      <c r="AA103" s="22"/>
      <c r="AB103" s="22">
        <f>((X103*500000)+(Y103*500000)+(Z103*375000)+(AA103*250000))</f>
        <v>500000</v>
      </c>
      <c r="AC103" s="22"/>
      <c r="AD103" s="22"/>
      <c r="AE103" s="22"/>
      <c r="AF103" s="22"/>
      <c r="AG103" s="12">
        <f t="shared" si="166"/>
        <v>500000</v>
      </c>
    </row>
    <row r="104" spans="2:33">
      <c r="B104" s="25" t="s">
        <v>88</v>
      </c>
      <c r="C104" s="25">
        <f>SUM(C98:C103)</f>
        <v>120</v>
      </c>
      <c r="D104" s="25">
        <f>SUM(D98:D103)</f>
        <v>0</v>
      </c>
      <c r="E104" s="25"/>
      <c r="F104" s="25">
        <f>SUM(F98:F103)</f>
        <v>120</v>
      </c>
      <c r="G104" s="25">
        <f t="shared" ref="G104:AG104" si="168">SUM(G98:G103)</f>
        <v>0</v>
      </c>
      <c r="H104" s="25">
        <f t="shared" si="168"/>
        <v>0</v>
      </c>
      <c r="I104" s="25">
        <f t="shared" si="168"/>
        <v>0</v>
      </c>
      <c r="J104" s="25">
        <f t="shared" si="168"/>
        <v>20</v>
      </c>
      <c r="K104" s="25">
        <f t="shared" si="168"/>
        <v>0</v>
      </c>
      <c r="L104" s="25">
        <f t="shared" si="168"/>
        <v>0</v>
      </c>
      <c r="M104" s="25">
        <f t="shared" si="168"/>
        <v>20</v>
      </c>
      <c r="N104" s="25">
        <f t="shared" si="168"/>
        <v>0</v>
      </c>
      <c r="O104" s="25">
        <f t="shared" si="168"/>
        <v>0</v>
      </c>
      <c r="P104" s="25">
        <f t="shared" si="168"/>
        <v>40</v>
      </c>
      <c r="Q104" s="25">
        <f>SUM(Q98:Q103)</f>
        <v>160</v>
      </c>
      <c r="R104" s="25">
        <f t="shared" si="168"/>
        <v>0</v>
      </c>
      <c r="S104" s="25">
        <f t="shared" ref="S104" si="169">SUM(S98:S103)</f>
        <v>0</v>
      </c>
      <c r="T104" s="25">
        <f t="shared" ref="T104" si="170">SUM(T98:T103)</f>
        <v>0</v>
      </c>
      <c r="U104" s="25">
        <f t="shared" ref="U104" si="171">SUM(U98:U103)</f>
        <v>0</v>
      </c>
      <c r="V104" s="25">
        <f t="shared" ref="V104" si="172">SUM(V98:V103)</f>
        <v>0</v>
      </c>
      <c r="W104" s="25">
        <f t="shared" ref="W104:AA104" si="173">SUM(W98:W103)</f>
        <v>160</v>
      </c>
      <c r="X104" s="25">
        <f>SUM(X98:X103)</f>
        <v>120</v>
      </c>
      <c r="Y104" s="25">
        <f t="shared" si="173"/>
        <v>0</v>
      </c>
      <c r="Z104" s="25">
        <f t="shared" si="173"/>
        <v>20</v>
      </c>
      <c r="AA104" s="25">
        <f t="shared" si="173"/>
        <v>20</v>
      </c>
      <c r="AB104" s="25">
        <f t="shared" ref="AB104" si="174">SUM(AB98:AB103)</f>
        <v>72500000</v>
      </c>
      <c r="AC104" s="25">
        <f t="shared" si="168"/>
        <v>5247000</v>
      </c>
      <c r="AD104" s="25">
        <f t="shared" si="168"/>
        <v>485000</v>
      </c>
      <c r="AE104" s="25">
        <f t="shared" si="168"/>
        <v>960000</v>
      </c>
      <c r="AF104" s="25">
        <f t="shared" si="168"/>
        <v>4800000</v>
      </c>
      <c r="AG104" s="25">
        <f t="shared" si="168"/>
        <v>78232000</v>
      </c>
    </row>
    <row r="105" spans="2:33">
      <c r="B105" s="13" t="s">
        <v>44</v>
      </c>
      <c r="C105" s="42"/>
      <c r="D105" s="39"/>
      <c r="E105" s="39"/>
      <c r="F105" s="37"/>
      <c r="G105" s="47"/>
      <c r="H105" s="47"/>
      <c r="I105" s="47"/>
      <c r="J105" s="47"/>
      <c r="K105" s="47"/>
      <c r="L105" s="47"/>
      <c r="M105" s="47"/>
      <c r="N105" s="47"/>
      <c r="O105" s="47"/>
      <c r="P105" s="46"/>
      <c r="Q105" s="35"/>
      <c r="R105" s="12"/>
      <c r="S105" s="12"/>
      <c r="T105" s="12"/>
      <c r="U105" s="12"/>
      <c r="V105" s="28"/>
      <c r="W105" s="12"/>
      <c r="X105" s="12">
        <f t="shared" ref="X105:X111" si="175">F105-R105-T105</f>
        <v>0</v>
      </c>
      <c r="Y105" s="12"/>
      <c r="Z105" s="12"/>
      <c r="AA105" s="12"/>
      <c r="AB105" s="12"/>
      <c r="AC105" s="12"/>
      <c r="AD105" s="12"/>
      <c r="AE105" s="12"/>
      <c r="AF105" s="12"/>
      <c r="AG105" s="12"/>
    </row>
    <row r="106" spans="2:33">
      <c r="B106" s="13" t="s">
        <v>23</v>
      </c>
      <c r="C106" s="39">
        <v>40</v>
      </c>
      <c r="D106" s="39">
        <v>27</v>
      </c>
      <c r="E106" s="39"/>
      <c r="F106" s="37">
        <f t="shared" si="123"/>
        <v>67</v>
      </c>
      <c r="G106" s="47"/>
      <c r="H106" s="47"/>
      <c r="I106" s="47"/>
      <c r="J106" s="47">
        <v>50</v>
      </c>
      <c r="K106" s="47">
        <v>40</v>
      </c>
      <c r="L106" s="47"/>
      <c r="M106" s="47">
        <v>20</v>
      </c>
      <c r="N106" s="47">
        <v>60</v>
      </c>
      <c r="O106" s="47"/>
      <c r="P106" s="46">
        <f>SUM(G106:O106)</f>
        <v>170</v>
      </c>
      <c r="Q106" s="35">
        <f t="shared" ref="Q106:Q111" si="176">F106+P106</f>
        <v>237</v>
      </c>
      <c r="R106" s="12"/>
      <c r="S106" s="12"/>
      <c r="T106" s="12">
        <v>24</v>
      </c>
      <c r="U106" s="12">
        <v>0</v>
      </c>
      <c r="V106" s="28"/>
      <c r="W106" s="12">
        <f>Q106-SUM(R106:V106)</f>
        <v>213</v>
      </c>
      <c r="X106" s="12">
        <f>F106-R106-T106</f>
        <v>43</v>
      </c>
      <c r="Y106" s="12">
        <v>30</v>
      </c>
      <c r="Z106" s="12">
        <v>70</v>
      </c>
      <c r="AA106" s="12">
        <v>70</v>
      </c>
      <c r="AB106" s="12">
        <f>((X106*375000)+(Y106*375000)+(Z106*250000)+(AA106*125000))</f>
        <v>53625000</v>
      </c>
      <c r="AC106" s="12">
        <f>W106*33000</f>
        <v>7029000</v>
      </c>
      <c r="AD106" s="12">
        <f>W106*5000</f>
        <v>1065000</v>
      </c>
      <c r="AE106" s="12"/>
      <c r="AF106" s="12"/>
      <c r="AG106" s="12">
        <f t="shared" ref="AG106:AG111" si="177">SUM(AB106:AD106)</f>
        <v>61719000</v>
      </c>
    </row>
    <row r="107" spans="2:33">
      <c r="B107" s="13" t="s">
        <v>24</v>
      </c>
      <c r="C107" s="39">
        <v>113</v>
      </c>
      <c r="D107" s="39">
        <v>101</v>
      </c>
      <c r="E107" s="39"/>
      <c r="F107" s="37">
        <f t="shared" si="123"/>
        <v>214</v>
      </c>
      <c r="G107" s="47"/>
      <c r="H107" s="47"/>
      <c r="I107" s="47"/>
      <c r="J107" s="47"/>
      <c r="K107" s="47"/>
      <c r="L107" s="47"/>
      <c r="M107" s="47"/>
      <c r="N107" s="47"/>
      <c r="O107" s="47"/>
      <c r="P107" s="46">
        <f t="shared" ref="P107:P111" si="178">SUM(G107:O107)</f>
        <v>0</v>
      </c>
      <c r="Q107" s="35">
        <f t="shared" si="176"/>
        <v>214</v>
      </c>
      <c r="R107" s="12"/>
      <c r="S107" s="12"/>
      <c r="T107" s="12">
        <v>151</v>
      </c>
      <c r="U107" s="12"/>
      <c r="V107" s="28"/>
      <c r="W107" s="12">
        <f t="shared" ref="W107:W111" si="179">Q107-SUM(R107:V107)</f>
        <v>63</v>
      </c>
      <c r="X107" s="12">
        <f t="shared" si="175"/>
        <v>63</v>
      </c>
      <c r="Y107" s="12"/>
      <c r="Z107" s="12"/>
      <c r="AA107" s="12"/>
      <c r="AB107" s="12">
        <f t="shared" ref="AB107:AB111" si="180">((X107*375000)+(Y107*375000)+(Z107*250000)+(AA107*125000))</f>
        <v>23625000</v>
      </c>
      <c r="AC107" s="12">
        <f t="shared" ref="AC107:AC109" si="181">W107*33000</f>
        <v>2079000</v>
      </c>
      <c r="AD107" s="12"/>
      <c r="AE107" s="12"/>
      <c r="AF107" s="12"/>
      <c r="AG107" s="12">
        <f t="shared" si="177"/>
        <v>25704000</v>
      </c>
    </row>
    <row r="108" spans="2:33">
      <c r="B108" s="13" t="s">
        <v>25</v>
      </c>
      <c r="C108" s="39"/>
      <c r="D108" s="39">
        <v>48</v>
      </c>
      <c r="E108" s="39"/>
      <c r="F108" s="37">
        <f t="shared" si="123"/>
        <v>48</v>
      </c>
      <c r="G108" s="47"/>
      <c r="H108" s="47"/>
      <c r="I108" s="47"/>
      <c r="J108" s="47"/>
      <c r="K108" s="47"/>
      <c r="L108" s="47"/>
      <c r="M108" s="47"/>
      <c r="N108" s="47"/>
      <c r="O108" s="47"/>
      <c r="P108" s="46">
        <f t="shared" si="178"/>
        <v>0</v>
      </c>
      <c r="Q108" s="35">
        <f t="shared" si="176"/>
        <v>48</v>
      </c>
      <c r="R108" s="12"/>
      <c r="S108" s="12"/>
      <c r="T108" s="12"/>
      <c r="U108" s="12"/>
      <c r="V108" s="28"/>
      <c r="W108" s="12">
        <f t="shared" si="179"/>
        <v>48</v>
      </c>
      <c r="X108" s="12">
        <f t="shared" si="175"/>
        <v>48</v>
      </c>
      <c r="Y108" s="12"/>
      <c r="Z108" s="12"/>
      <c r="AA108" s="12"/>
      <c r="AB108" s="12">
        <f t="shared" si="180"/>
        <v>18000000</v>
      </c>
      <c r="AC108" s="12">
        <f t="shared" si="181"/>
        <v>1584000</v>
      </c>
      <c r="AD108" s="12"/>
      <c r="AE108" s="12"/>
      <c r="AF108" s="12"/>
      <c r="AG108" s="12">
        <f t="shared" si="177"/>
        <v>19584000</v>
      </c>
    </row>
    <row r="109" spans="2:33">
      <c r="B109" s="13" t="s">
        <v>26</v>
      </c>
      <c r="C109" s="39"/>
      <c r="D109" s="39">
        <v>74</v>
      </c>
      <c r="E109" s="39"/>
      <c r="F109" s="37">
        <f t="shared" si="123"/>
        <v>74</v>
      </c>
      <c r="G109" s="47"/>
      <c r="H109" s="47"/>
      <c r="I109" s="47"/>
      <c r="J109" s="47"/>
      <c r="K109" s="47"/>
      <c r="L109" s="47"/>
      <c r="M109" s="47"/>
      <c r="N109" s="47"/>
      <c r="O109" s="47"/>
      <c r="P109" s="46">
        <f t="shared" si="178"/>
        <v>0</v>
      </c>
      <c r="Q109" s="35">
        <f t="shared" si="176"/>
        <v>74</v>
      </c>
      <c r="R109" s="12"/>
      <c r="S109" s="12"/>
      <c r="T109" s="12"/>
      <c r="U109" s="12"/>
      <c r="V109" s="28"/>
      <c r="W109" s="12">
        <f t="shared" si="179"/>
        <v>74</v>
      </c>
      <c r="X109" s="12">
        <f t="shared" si="175"/>
        <v>74</v>
      </c>
      <c r="Y109" s="12"/>
      <c r="Z109" s="12"/>
      <c r="AA109" s="12"/>
      <c r="AB109" s="12">
        <f t="shared" si="180"/>
        <v>27750000</v>
      </c>
      <c r="AC109" s="12">
        <f t="shared" si="181"/>
        <v>2442000</v>
      </c>
      <c r="AD109" s="12"/>
      <c r="AE109" s="12">
        <f>W109*30000</f>
        <v>2220000</v>
      </c>
      <c r="AF109" s="12"/>
      <c r="AG109" s="12">
        <f t="shared" si="177"/>
        <v>30192000</v>
      </c>
    </row>
    <row r="110" spans="2:33" s="78" customFormat="1">
      <c r="B110" s="22" t="s">
        <v>22</v>
      </c>
      <c r="C110" s="43">
        <v>18</v>
      </c>
      <c r="D110" s="43">
        <v>62</v>
      </c>
      <c r="E110" s="43"/>
      <c r="F110" s="43">
        <f t="shared" si="123"/>
        <v>80</v>
      </c>
      <c r="G110" s="64"/>
      <c r="H110" s="64"/>
      <c r="I110" s="64"/>
      <c r="J110" s="64"/>
      <c r="K110" s="64"/>
      <c r="L110" s="64"/>
      <c r="M110" s="64"/>
      <c r="N110" s="64"/>
      <c r="O110" s="64"/>
      <c r="P110" s="64">
        <f t="shared" si="178"/>
        <v>0</v>
      </c>
      <c r="Q110" s="22">
        <f t="shared" si="176"/>
        <v>80</v>
      </c>
      <c r="R110" s="22"/>
      <c r="S110" s="22"/>
      <c r="T110" s="22"/>
      <c r="U110" s="22"/>
      <c r="V110" s="79"/>
      <c r="W110" s="22">
        <f t="shared" si="179"/>
        <v>80</v>
      </c>
      <c r="X110" s="22">
        <f t="shared" si="175"/>
        <v>80</v>
      </c>
      <c r="Y110" s="22"/>
      <c r="Z110" s="22"/>
      <c r="AA110" s="22"/>
      <c r="AB110" s="22">
        <v>0</v>
      </c>
      <c r="AC110" s="22"/>
      <c r="AD110" s="22"/>
      <c r="AE110" s="22"/>
      <c r="AF110" s="22">
        <f>W110*150000</f>
        <v>12000000</v>
      </c>
      <c r="AG110" s="22">
        <f t="shared" si="177"/>
        <v>0</v>
      </c>
    </row>
    <row r="111" spans="2:33" s="78" customFormat="1">
      <c r="B111" s="22" t="s">
        <v>45</v>
      </c>
      <c r="C111" s="43"/>
      <c r="D111" s="43"/>
      <c r="E111" s="43"/>
      <c r="F111" s="43">
        <f t="shared" si="123"/>
        <v>0</v>
      </c>
      <c r="G111" s="64"/>
      <c r="H111" s="64"/>
      <c r="I111" s="64"/>
      <c r="J111" s="64"/>
      <c r="K111" s="64"/>
      <c r="L111" s="64"/>
      <c r="M111" s="64"/>
      <c r="N111" s="64"/>
      <c r="O111" s="64"/>
      <c r="P111" s="64">
        <f t="shared" si="178"/>
        <v>0</v>
      </c>
      <c r="Q111" s="22">
        <f t="shared" si="176"/>
        <v>0</v>
      </c>
      <c r="R111" s="22"/>
      <c r="S111" s="22"/>
      <c r="T111" s="22"/>
      <c r="U111" s="22"/>
      <c r="V111" s="79"/>
      <c r="W111" s="22">
        <f t="shared" si="179"/>
        <v>0</v>
      </c>
      <c r="X111" s="22">
        <f t="shared" si="175"/>
        <v>0</v>
      </c>
      <c r="Y111" s="22"/>
      <c r="Z111" s="22"/>
      <c r="AA111" s="22"/>
      <c r="AB111" s="22">
        <f t="shared" si="180"/>
        <v>0</v>
      </c>
      <c r="AC111" s="22"/>
      <c r="AD111" s="22"/>
      <c r="AE111" s="22"/>
      <c r="AF111" s="22"/>
      <c r="AG111" s="22">
        <f t="shared" si="177"/>
        <v>0</v>
      </c>
    </row>
    <row r="112" spans="2:33">
      <c r="B112" s="25" t="s">
        <v>89</v>
      </c>
      <c r="C112" s="25">
        <f>SUM(C106:C111)</f>
        <v>171</v>
      </c>
      <c r="D112" s="25">
        <f>SUM(D106:D111)</f>
        <v>312</v>
      </c>
      <c r="E112" s="25"/>
      <c r="F112" s="25">
        <f>SUM(F106:F111)</f>
        <v>483</v>
      </c>
      <c r="G112" s="25">
        <f t="shared" ref="G112:AG112" si="182">SUM(G106:G111)</f>
        <v>0</v>
      </c>
      <c r="H112" s="25">
        <f t="shared" si="182"/>
        <v>0</v>
      </c>
      <c r="I112" s="25">
        <f t="shared" si="182"/>
        <v>0</v>
      </c>
      <c r="J112" s="25">
        <f t="shared" si="182"/>
        <v>50</v>
      </c>
      <c r="K112" s="25">
        <f t="shared" si="182"/>
        <v>40</v>
      </c>
      <c r="L112" s="25">
        <f t="shared" si="182"/>
        <v>0</v>
      </c>
      <c r="M112" s="25">
        <f t="shared" si="182"/>
        <v>20</v>
      </c>
      <c r="N112" s="25">
        <f t="shared" si="182"/>
        <v>60</v>
      </c>
      <c r="O112" s="25">
        <f t="shared" si="182"/>
        <v>0</v>
      </c>
      <c r="P112" s="25">
        <f t="shared" si="182"/>
        <v>170</v>
      </c>
      <c r="Q112" s="25">
        <f t="shared" si="182"/>
        <v>653</v>
      </c>
      <c r="R112" s="25">
        <f t="shared" si="182"/>
        <v>0</v>
      </c>
      <c r="S112" s="25">
        <f t="shared" ref="S112" si="183">SUM(S106:S111)</f>
        <v>0</v>
      </c>
      <c r="T112" s="25">
        <f t="shared" ref="T112" si="184">SUM(T106:T111)</f>
        <v>175</v>
      </c>
      <c r="U112" s="25">
        <f t="shared" ref="U112" si="185">SUM(U106:U111)</f>
        <v>0</v>
      </c>
      <c r="V112" s="25">
        <f t="shared" ref="V112" si="186">SUM(V106:V111)</f>
        <v>0</v>
      </c>
      <c r="W112" s="25">
        <f t="shared" ref="W112:AA112" si="187">SUM(W106:W111)</f>
        <v>478</v>
      </c>
      <c r="X112" s="25">
        <f t="shared" si="187"/>
        <v>308</v>
      </c>
      <c r="Y112" s="25">
        <f t="shared" si="187"/>
        <v>30</v>
      </c>
      <c r="Z112" s="25">
        <f t="shared" si="187"/>
        <v>70</v>
      </c>
      <c r="AA112" s="25">
        <f t="shared" si="187"/>
        <v>70</v>
      </c>
      <c r="AB112" s="25">
        <f t="shared" ref="AB112" si="188">SUM(AB106:AB111)</f>
        <v>123000000</v>
      </c>
      <c r="AC112" s="25">
        <f>SUM(AC106:AC111)</f>
        <v>13134000</v>
      </c>
      <c r="AD112" s="25">
        <f t="shared" si="182"/>
        <v>1065000</v>
      </c>
      <c r="AE112" s="25">
        <f t="shared" si="182"/>
        <v>2220000</v>
      </c>
      <c r="AF112" s="25">
        <f t="shared" si="182"/>
        <v>12000000</v>
      </c>
      <c r="AG112" s="25">
        <f t="shared" si="182"/>
        <v>137199000</v>
      </c>
    </row>
    <row r="113" spans="2:34">
      <c r="B113" s="13" t="s">
        <v>47</v>
      </c>
      <c r="C113" s="39"/>
      <c r="D113" s="39"/>
      <c r="E113" s="39"/>
      <c r="F113" s="37"/>
      <c r="G113" s="47"/>
      <c r="H113" s="47"/>
      <c r="I113" s="47"/>
      <c r="J113" s="47"/>
      <c r="K113" s="47"/>
      <c r="L113" s="47"/>
      <c r="M113" s="47"/>
      <c r="N113" s="47"/>
      <c r="O113" s="47"/>
      <c r="P113" s="46"/>
      <c r="Q113" s="35"/>
      <c r="R113" s="12"/>
      <c r="S113" s="12"/>
      <c r="T113" s="12"/>
      <c r="U113" s="12"/>
      <c r="V113" s="28"/>
      <c r="W113" s="12"/>
      <c r="X113" s="12"/>
      <c r="Y113" s="12"/>
      <c r="Z113" s="12"/>
      <c r="AA113" s="12"/>
      <c r="AB113" s="12"/>
      <c r="AC113" s="12"/>
      <c r="AD113" s="12"/>
      <c r="AE113" s="12"/>
      <c r="AF113" s="12"/>
      <c r="AG113" s="12"/>
    </row>
    <row r="114" spans="2:34" ht="30.75" customHeight="1">
      <c r="B114" s="13" t="s">
        <v>82</v>
      </c>
      <c r="C114" s="60" t="s">
        <v>48</v>
      </c>
      <c r="D114" s="60" t="s">
        <v>49</v>
      </c>
      <c r="E114" s="39"/>
      <c r="F114" s="37"/>
      <c r="G114" s="60" t="s">
        <v>48</v>
      </c>
      <c r="H114" s="60" t="s">
        <v>49</v>
      </c>
      <c r="I114" s="47"/>
      <c r="J114" s="60" t="s">
        <v>48</v>
      </c>
      <c r="K114" s="60" t="s">
        <v>49</v>
      </c>
      <c r="L114" s="47"/>
      <c r="M114" s="60" t="s">
        <v>48</v>
      </c>
      <c r="N114" s="60" t="s">
        <v>49</v>
      </c>
      <c r="O114" s="47"/>
      <c r="P114" s="46"/>
      <c r="Q114" s="35"/>
      <c r="R114" s="12"/>
      <c r="S114" s="12"/>
      <c r="T114" s="12"/>
      <c r="U114" s="12"/>
      <c r="V114" s="28"/>
      <c r="W114" s="12"/>
      <c r="X114" s="12"/>
      <c r="Y114" s="12"/>
      <c r="Z114" s="12"/>
      <c r="AA114" s="12"/>
      <c r="AB114" s="12"/>
      <c r="AC114" s="12"/>
      <c r="AD114" s="12"/>
      <c r="AE114" s="12"/>
      <c r="AF114" s="12"/>
      <c r="AG114" s="12"/>
    </row>
    <row r="115" spans="2:34">
      <c r="B115" s="13" t="s">
        <v>50</v>
      </c>
      <c r="C115" s="39">
        <v>70</v>
      </c>
      <c r="D115" s="39">
        <v>7</v>
      </c>
      <c r="E115" s="39"/>
      <c r="F115" s="37">
        <f t="shared" si="123"/>
        <v>77</v>
      </c>
      <c r="G115" s="47">
        <v>40</v>
      </c>
      <c r="H115" s="47">
        <v>20</v>
      </c>
      <c r="I115" s="47"/>
      <c r="J115" s="47"/>
      <c r="K115" s="47"/>
      <c r="L115" s="47"/>
      <c r="M115" s="47">
        <v>30</v>
      </c>
      <c r="N115" s="47">
        <v>0</v>
      </c>
      <c r="O115" s="47"/>
      <c r="P115" s="46">
        <f>SUM(G115:O115)</f>
        <v>90</v>
      </c>
      <c r="Q115" s="35">
        <f>F115+P115</f>
        <v>167</v>
      </c>
      <c r="R115" s="12"/>
      <c r="S115" s="12"/>
      <c r="T115" s="12"/>
      <c r="U115" s="12"/>
      <c r="V115" s="28"/>
      <c r="W115" s="12">
        <f t="shared" ref="W115:W116" si="189">Q115-SUM(R115:V115)</f>
        <v>167</v>
      </c>
      <c r="X115" s="12">
        <f>F115-R115-T115</f>
        <v>77</v>
      </c>
      <c r="Y115" s="12"/>
      <c r="Z115" s="12">
        <v>60</v>
      </c>
      <c r="AA115" s="12">
        <v>30</v>
      </c>
      <c r="AB115" s="12">
        <f>(C115*420000)+(D115*427000)+(G115*420000)+(H115*427000)+(J115*420000)+(K115*427000)+(M115*140000)</f>
        <v>61929000</v>
      </c>
      <c r="AC115" s="12">
        <f>W115*38000</f>
        <v>6346000</v>
      </c>
      <c r="AD115" s="12">
        <f>(Y115+Z115+AA115)*5000</f>
        <v>450000</v>
      </c>
      <c r="AE115" s="12">
        <f>W115*60000</f>
        <v>10020000</v>
      </c>
      <c r="AF115" s="12"/>
      <c r="AG115" s="12">
        <f t="shared" ref="AG115" si="190">SUM(AB115:AD115)</f>
        <v>68725000</v>
      </c>
    </row>
    <row r="116" spans="2:34">
      <c r="B116" s="13" t="s">
        <v>22</v>
      </c>
      <c r="C116" s="39"/>
      <c r="D116" s="39"/>
      <c r="E116" s="39"/>
      <c r="F116" s="37"/>
      <c r="G116" s="47"/>
      <c r="H116" s="47"/>
      <c r="I116" s="47"/>
      <c r="J116" s="47"/>
      <c r="K116" s="47"/>
      <c r="L116" s="47"/>
      <c r="M116" s="47"/>
      <c r="N116" s="47"/>
      <c r="O116" s="47"/>
      <c r="P116" s="46"/>
      <c r="Q116" s="35"/>
      <c r="R116" s="12"/>
      <c r="S116" s="12"/>
      <c r="T116" s="12"/>
      <c r="U116" s="12"/>
      <c r="V116" s="28"/>
      <c r="W116" s="12">
        <f t="shared" si="189"/>
        <v>0</v>
      </c>
      <c r="X116" s="12">
        <f>F116-R116-T116</f>
        <v>0</v>
      </c>
      <c r="Y116" s="12"/>
      <c r="Z116" s="12"/>
      <c r="AA116" s="12"/>
      <c r="AB116" s="12"/>
      <c r="AC116" s="12"/>
      <c r="AD116" s="12"/>
      <c r="AE116" s="12"/>
      <c r="AF116" s="12"/>
      <c r="AG116" s="12"/>
    </row>
    <row r="117" spans="2:34">
      <c r="B117" s="54" t="s">
        <v>81</v>
      </c>
      <c r="C117" s="52"/>
      <c r="D117" s="52"/>
      <c r="E117" s="52"/>
      <c r="F117" s="52">
        <f>SUM(F115:F116)</f>
        <v>77</v>
      </c>
      <c r="G117" s="52">
        <f t="shared" ref="G117:AG117" si="191">SUM(G115:G116)</f>
        <v>40</v>
      </c>
      <c r="H117" s="52">
        <f t="shared" si="191"/>
        <v>20</v>
      </c>
      <c r="I117" s="52">
        <f t="shared" si="191"/>
        <v>0</v>
      </c>
      <c r="J117" s="52">
        <f t="shared" si="191"/>
        <v>0</v>
      </c>
      <c r="K117" s="52">
        <f t="shared" si="191"/>
        <v>0</v>
      </c>
      <c r="L117" s="52">
        <f t="shared" si="191"/>
        <v>0</v>
      </c>
      <c r="M117" s="52">
        <f t="shared" si="191"/>
        <v>30</v>
      </c>
      <c r="N117" s="52">
        <f t="shared" si="191"/>
        <v>0</v>
      </c>
      <c r="O117" s="52">
        <f t="shared" si="191"/>
        <v>0</v>
      </c>
      <c r="P117" s="52">
        <f t="shared" si="191"/>
        <v>90</v>
      </c>
      <c r="Q117" s="52">
        <f t="shared" si="191"/>
        <v>167</v>
      </c>
      <c r="R117" s="52">
        <f t="shared" si="191"/>
        <v>0</v>
      </c>
      <c r="S117" s="52">
        <f t="shared" ref="S117" si="192">SUM(S115:S116)</f>
        <v>0</v>
      </c>
      <c r="T117" s="52">
        <f t="shared" ref="T117" si="193">SUM(T115:T116)</f>
        <v>0</v>
      </c>
      <c r="U117" s="52">
        <f t="shared" ref="U117" si="194">SUM(U115:U116)</f>
        <v>0</v>
      </c>
      <c r="V117" s="52">
        <f t="shared" ref="V117" si="195">SUM(V115:V116)</f>
        <v>0</v>
      </c>
      <c r="W117" s="52">
        <f>SUM(W115:W116)</f>
        <v>167</v>
      </c>
      <c r="X117" s="52">
        <f>SUM(X115:X116)</f>
        <v>77</v>
      </c>
      <c r="Y117" s="52">
        <f t="shared" ref="Y117:AA117" si="196">SUM(Y115:Y116)</f>
        <v>0</v>
      </c>
      <c r="Z117" s="52">
        <f t="shared" si="196"/>
        <v>60</v>
      </c>
      <c r="AA117" s="52">
        <f t="shared" si="196"/>
        <v>30</v>
      </c>
      <c r="AB117" s="52">
        <f t="shared" ref="AB117" si="197">SUM(AB115:AB116)</f>
        <v>61929000</v>
      </c>
      <c r="AC117" s="52">
        <f t="shared" ref="AC117" si="198">SUM(AC115:AC116)</f>
        <v>6346000</v>
      </c>
      <c r="AD117" s="52">
        <f t="shared" si="191"/>
        <v>450000</v>
      </c>
      <c r="AE117" s="52">
        <f t="shared" si="191"/>
        <v>10020000</v>
      </c>
      <c r="AF117" s="52">
        <f t="shared" si="191"/>
        <v>0</v>
      </c>
      <c r="AG117" s="52">
        <f t="shared" si="191"/>
        <v>68725000</v>
      </c>
    </row>
    <row r="118" spans="2:34">
      <c r="B118" s="13" t="s">
        <v>83</v>
      </c>
      <c r="C118" s="39"/>
      <c r="D118" s="39"/>
      <c r="E118" s="39"/>
      <c r="F118" s="37"/>
      <c r="G118" s="47"/>
      <c r="H118" s="47"/>
      <c r="I118" s="47"/>
      <c r="J118" s="47"/>
      <c r="K118" s="47"/>
      <c r="L118" s="47"/>
      <c r="M118" s="47"/>
      <c r="N118" s="47"/>
      <c r="O118" s="47"/>
      <c r="P118" s="46"/>
      <c r="Q118" s="35"/>
      <c r="R118" s="12"/>
      <c r="S118" s="12"/>
      <c r="T118" s="12"/>
      <c r="U118" s="12"/>
      <c r="V118" s="28"/>
      <c r="W118" s="12"/>
      <c r="X118" s="12">
        <f>F118-R118-T118</f>
        <v>0</v>
      </c>
      <c r="Y118" s="12"/>
      <c r="Z118" s="12"/>
      <c r="AA118" s="12"/>
      <c r="AB118" s="12"/>
      <c r="AC118" s="12"/>
      <c r="AD118" s="12"/>
      <c r="AE118" s="12"/>
      <c r="AF118" s="12"/>
      <c r="AG118" s="12"/>
    </row>
    <row r="119" spans="2:34">
      <c r="B119" s="13" t="s">
        <v>100</v>
      </c>
      <c r="C119" s="39"/>
      <c r="D119" s="39"/>
      <c r="E119" s="39"/>
      <c r="F119" s="37"/>
      <c r="G119" s="47"/>
      <c r="H119" s="47"/>
      <c r="I119" s="47"/>
      <c r="J119" s="47"/>
      <c r="K119" s="47"/>
      <c r="L119" s="47"/>
      <c r="M119" s="47">
        <v>0</v>
      </c>
      <c r="N119" s="47">
        <v>0</v>
      </c>
      <c r="O119" s="47"/>
      <c r="P119" s="46">
        <f>SUM(G119:O119)</f>
        <v>0</v>
      </c>
      <c r="Q119" s="35">
        <f>F119+P119</f>
        <v>0</v>
      </c>
      <c r="R119" s="12"/>
      <c r="S119" s="12"/>
      <c r="T119" s="12"/>
      <c r="U119" s="12"/>
      <c r="V119" s="28"/>
      <c r="W119" s="12">
        <f t="shared" ref="W119" si="199">Q119-SUM(R119:V119)</f>
        <v>0</v>
      </c>
      <c r="X119" s="12">
        <f>F119-R119-T119</f>
        <v>0</v>
      </c>
      <c r="Y119" s="12"/>
      <c r="Z119" s="12"/>
      <c r="AA119" s="12"/>
      <c r="AB119" s="12">
        <f>W119*300000</f>
        <v>0</v>
      </c>
      <c r="AC119" s="12">
        <f>W119*50000</f>
        <v>0</v>
      </c>
      <c r="AD119" s="12">
        <f>W119*5000</f>
        <v>0</v>
      </c>
      <c r="AE119" s="12"/>
      <c r="AF119" s="12"/>
      <c r="AG119" s="12"/>
    </row>
    <row r="120" spans="2:34">
      <c r="B120" s="54" t="s">
        <v>90</v>
      </c>
      <c r="C120" s="52"/>
      <c r="D120" s="52"/>
      <c r="E120" s="52"/>
      <c r="F120" s="25">
        <f>SUM(F118:F119)</f>
        <v>0</v>
      </c>
      <c r="G120" s="25">
        <f t="shared" ref="G120:AG120" si="200">SUM(G118:G119)</f>
        <v>0</v>
      </c>
      <c r="H120" s="25">
        <f t="shared" si="200"/>
        <v>0</v>
      </c>
      <c r="I120" s="25">
        <f t="shared" si="200"/>
        <v>0</v>
      </c>
      <c r="J120" s="25">
        <f t="shared" si="200"/>
        <v>0</v>
      </c>
      <c r="K120" s="25">
        <f t="shared" si="200"/>
        <v>0</v>
      </c>
      <c r="L120" s="25">
        <f t="shared" si="200"/>
        <v>0</v>
      </c>
      <c r="M120" s="25">
        <f t="shared" si="200"/>
        <v>0</v>
      </c>
      <c r="N120" s="25">
        <f t="shared" si="200"/>
        <v>0</v>
      </c>
      <c r="O120" s="25">
        <f t="shared" si="200"/>
        <v>0</v>
      </c>
      <c r="P120" s="25">
        <f t="shared" si="200"/>
        <v>0</v>
      </c>
      <c r="Q120" s="25">
        <f t="shared" si="200"/>
        <v>0</v>
      </c>
      <c r="R120" s="25">
        <f t="shared" si="200"/>
        <v>0</v>
      </c>
      <c r="S120" s="25">
        <f t="shared" ref="S120" si="201">SUM(S118:S119)</f>
        <v>0</v>
      </c>
      <c r="T120" s="25">
        <f t="shared" ref="T120" si="202">SUM(T118:T119)</f>
        <v>0</v>
      </c>
      <c r="U120" s="25">
        <f t="shared" ref="U120" si="203">SUM(U118:U119)</f>
        <v>0</v>
      </c>
      <c r="V120" s="25">
        <f t="shared" ref="V120" si="204">SUM(V118:V119)</f>
        <v>0</v>
      </c>
      <c r="W120" s="25">
        <f t="shared" ref="W120:X120" si="205">SUM(W118:W119)</f>
        <v>0</v>
      </c>
      <c r="X120" s="25">
        <f t="shared" si="205"/>
        <v>0</v>
      </c>
      <c r="Y120" s="25"/>
      <c r="Z120" s="25"/>
      <c r="AA120" s="25"/>
      <c r="AB120" s="25">
        <f t="shared" ref="AB120" si="206">SUM(AB118:AB119)</f>
        <v>0</v>
      </c>
      <c r="AC120" s="25">
        <f t="shared" si="200"/>
        <v>0</v>
      </c>
      <c r="AD120" s="25">
        <f t="shared" si="200"/>
        <v>0</v>
      </c>
      <c r="AE120" s="25">
        <f t="shared" si="200"/>
        <v>0</v>
      </c>
      <c r="AF120" s="25">
        <f t="shared" si="200"/>
        <v>0</v>
      </c>
      <c r="AG120" s="25">
        <f t="shared" si="200"/>
        <v>0</v>
      </c>
    </row>
    <row r="121" spans="2:34">
      <c r="B121" s="27" t="s">
        <v>46</v>
      </c>
      <c r="C121" s="27"/>
      <c r="D121" s="27">
        <f>C115+D115</f>
        <v>77</v>
      </c>
      <c r="E121" s="27"/>
      <c r="F121" s="27">
        <f>F28+F36+F62+F96+F104+F112+F117+F120</f>
        <v>2492</v>
      </c>
      <c r="G121" s="27">
        <f t="shared" ref="G121:AF121" si="207">G28+G36+G62+G96+G104+G112+G117+G120</f>
        <v>70</v>
      </c>
      <c r="H121" s="27">
        <f t="shared" si="207"/>
        <v>120</v>
      </c>
      <c r="I121" s="27">
        <f t="shared" si="207"/>
        <v>140</v>
      </c>
      <c r="J121" s="27">
        <f t="shared" si="207"/>
        <v>345</v>
      </c>
      <c r="K121" s="27">
        <f t="shared" si="207"/>
        <v>125</v>
      </c>
      <c r="L121" s="27">
        <f t="shared" si="207"/>
        <v>120</v>
      </c>
      <c r="M121" s="27">
        <f t="shared" si="207"/>
        <v>255</v>
      </c>
      <c r="N121" s="27">
        <f t="shared" si="207"/>
        <v>180</v>
      </c>
      <c r="O121" s="27">
        <f t="shared" si="207"/>
        <v>150</v>
      </c>
      <c r="P121" s="27">
        <f t="shared" si="207"/>
        <v>1385</v>
      </c>
      <c r="Q121" s="27">
        <f>Q28+Q36+Q62+Q96+Q104+Q112+Q117+Q120</f>
        <v>3997</v>
      </c>
      <c r="R121" s="27">
        <f t="shared" si="207"/>
        <v>300</v>
      </c>
      <c r="S121" s="27">
        <f t="shared" ref="S121" si="208">S28+S36+S62+S96+S104+S112+S117+S120</f>
        <v>150</v>
      </c>
      <c r="T121" s="27">
        <f t="shared" ref="T121" si="209">T28+T36+T62+T96+T104+T112+T117+T120</f>
        <v>399</v>
      </c>
      <c r="U121" s="27">
        <f t="shared" ref="U121" si="210">U28+U36+U62+U96+U104+U112+U117+U120</f>
        <v>230</v>
      </c>
      <c r="V121" s="27">
        <f t="shared" ref="V121" si="211">V28+V36+V62+V96+V104+V112+V117+V120</f>
        <v>45</v>
      </c>
      <c r="W121" s="27">
        <f>W28+W36+W62+W96+W104+W112+W117+W120</f>
        <v>2873</v>
      </c>
      <c r="X121" s="27">
        <f>X28+X36+X62+X96+X104+X112+X117+X120</f>
        <v>1793</v>
      </c>
      <c r="Y121" s="27"/>
      <c r="Z121" s="27"/>
      <c r="AA121" s="27"/>
      <c r="AB121" s="27">
        <f t="shared" si="207"/>
        <v>960724000</v>
      </c>
      <c r="AC121" s="27">
        <f t="shared" si="207"/>
        <v>93070000</v>
      </c>
      <c r="AD121" s="27">
        <f t="shared" si="207"/>
        <v>8440000</v>
      </c>
      <c r="AE121" s="27">
        <f t="shared" si="207"/>
        <v>38250000</v>
      </c>
      <c r="AF121" s="27">
        <f t="shared" si="207"/>
        <v>46050000</v>
      </c>
      <c r="AG121" s="27">
        <f>AG28+AG36+AG62+AG96+AG104+AG112+AG117+AG120</f>
        <v>1062234000</v>
      </c>
      <c r="AH121" s="55"/>
    </row>
    <row r="122" spans="2:34">
      <c r="G122" s="68"/>
      <c r="T122" s="68"/>
    </row>
    <row r="123" spans="2:34">
      <c r="F123" s="105">
        <f>F121*65%</f>
        <v>1619.8</v>
      </c>
      <c r="G123" s="68"/>
      <c r="Q123" s="2">
        <f>(Q121-F121)/F121</f>
        <v>0.6039325842696629</v>
      </c>
      <c r="S123" s="68">
        <f>S121*985000</f>
        <v>147750000</v>
      </c>
      <c r="X123" s="68">
        <f>X121+T121+R121</f>
        <v>2492</v>
      </c>
    </row>
    <row r="124" spans="2:34">
      <c r="F124" s="81"/>
      <c r="G124" s="68"/>
      <c r="Q124" s="68">
        <f>Q121*2000</f>
        <v>7994000</v>
      </c>
      <c r="S124" s="68">
        <f>S123*5/10</f>
        <v>73875000</v>
      </c>
      <c r="U124" s="97">
        <v>2667</v>
      </c>
      <c r="X124" s="68">
        <f>X123*5000</f>
        <v>12460000</v>
      </c>
      <c r="Y124" s="68">
        <f>X121+T121+R121</f>
        <v>2492</v>
      </c>
    </row>
    <row r="125" spans="2:34">
      <c r="B125" s="99" t="s">
        <v>201</v>
      </c>
      <c r="U125" s="68">
        <f>U124+S121+U121+V121</f>
        <v>3092</v>
      </c>
      <c r="Y125" s="68">
        <f>Y124-300</f>
        <v>2192</v>
      </c>
    </row>
    <row r="126" spans="2:34">
      <c r="C126" s="98">
        <v>45566</v>
      </c>
      <c r="D126" s="98">
        <v>45717</v>
      </c>
      <c r="E126" s="98">
        <v>45931</v>
      </c>
      <c r="U126" s="68">
        <f>U125-Q121</f>
        <v>-905</v>
      </c>
    </row>
    <row r="127" spans="2:34">
      <c r="C127" s="98"/>
      <c r="D127" s="98"/>
      <c r="E127" s="98"/>
      <c r="F127" s="1" t="s">
        <v>204</v>
      </c>
      <c r="G127" s="1" t="s">
        <v>207</v>
      </c>
    </row>
    <row r="128" spans="2:34">
      <c r="B128" t="s">
        <v>202</v>
      </c>
      <c r="C128" s="97">
        <v>82656000</v>
      </c>
      <c r="D128" s="97">
        <v>84405333.333333254</v>
      </c>
      <c r="E128" s="97">
        <v>82656000</v>
      </c>
      <c r="F128" s="81">
        <f>SUM(C128:E128)</f>
        <v>249717333.33333325</v>
      </c>
      <c r="G128" s="97">
        <f>F128*9%</f>
        <v>22474559.999999993</v>
      </c>
    </row>
    <row r="129" spans="1:7">
      <c r="B129" t="s">
        <v>203</v>
      </c>
      <c r="C129" s="97">
        <v>16590000</v>
      </c>
      <c r="D129" s="97">
        <v>18970000</v>
      </c>
      <c r="E129" s="68">
        <f>C129</f>
        <v>16590000</v>
      </c>
      <c r="F129" s="81">
        <f>SUM(C129:E129)</f>
        <v>52150000</v>
      </c>
      <c r="G129" s="97">
        <f>F129*10%</f>
        <v>5215000</v>
      </c>
    </row>
    <row r="130" spans="1:7">
      <c r="B130" s="1" t="s">
        <v>94</v>
      </c>
      <c r="C130" s="68">
        <f>C129/70</f>
        <v>237000</v>
      </c>
      <c r="D130" s="68">
        <f>D129/70</f>
        <v>271000</v>
      </c>
      <c r="F130" s="81">
        <f>SUM(F128:F129)</f>
        <v>301867333.33333325</v>
      </c>
    </row>
    <row r="131" spans="1:7">
      <c r="B131" t="s">
        <v>205</v>
      </c>
      <c r="D131" s="55">
        <f>271000*100</f>
        <v>27100000</v>
      </c>
      <c r="E131" s="97">
        <f>237000*100</f>
        <v>23700000</v>
      </c>
      <c r="F131" s="81">
        <f>SUM(D131:E131)</f>
        <v>50800000</v>
      </c>
      <c r="G131" s="68">
        <f>F131*10%</f>
        <v>5080000</v>
      </c>
    </row>
    <row r="132" spans="1:7">
      <c r="B132" t="s">
        <v>206</v>
      </c>
      <c r="E132" s="97">
        <f>271000*130</f>
        <v>35230000</v>
      </c>
      <c r="F132" s="81">
        <f>SUM(D132:E132)</f>
        <v>35230000</v>
      </c>
      <c r="G132" s="68">
        <f>F132*10%</f>
        <v>3523000</v>
      </c>
    </row>
    <row r="133" spans="1:7">
      <c r="A133" s="1"/>
      <c r="B133" s="1" t="s">
        <v>208</v>
      </c>
      <c r="C133" s="1"/>
      <c r="D133" s="1"/>
      <c r="E133" s="1"/>
      <c r="F133" s="81">
        <f>SUM(F130:F132)</f>
        <v>387897333.33333325</v>
      </c>
      <c r="G133" s="81">
        <f>SUM(G128:G132)</f>
        <v>36292559.999999993</v>
      </c>
    </row>
    <row r="135" spans="1:7">
      <c r="C135" t="s">
        <v>3</v>
      </c>
    </row>
    <row r="136" spans="1:7">
      <c r="B136" s="99" t="s">
        <v>209</v>
      </c>
    </row>
    <row r="137" spans="1:7">
      <c r="B137" t="s">
        <v>36</v>
      </c>
      <c r="C137">
        <v>20</v>
      </c>
      <c r="D137" s="97">
        <v>713667</v>
      </c>
      <c r="E137" s="68">
        <f>C137*D137</f>
        <v>14273340</v>
      </c>
    </row>
    <row r="138" spans="1:7">
      <c r="B138" t="s">
        <v>210</v>
      </c>
      <c r="C138">
        <v>40</v>
      </c>
      <c r="D138" s="97">
        <v>677333</v>
      </c>
      <c r="E138" s="68">
        <f t="shared" ref="E138" si="212">C138*D138</f>
        <v>27093320</v>
      </c>
    </row>
    <row r="139" spans="1:7">
      <c r="B139" t="s">
        <v>211</v>
      </c>
      <c r="C139">
        <v>20</v>
      </c>
      <c r="D139" s="97">
        <v>635250</v>
      </c>
      <c r="E139" s="68">
        <f>C139*D139</f>
        <v>12705000</v>
      </c>
    </row>
    <row r="140" spans="1:7">
      <c r="E140" s="81">
        <f>SUM(E137:E139)</f>
        <v>54071660</v>
      </c>
    </row>
    <row r="141" spans="1:7">
      <c r="B141" t="s">
        <v>272</v>
      </c>
    </row>
    <row r="142" spans="1:7">
      <c r="B142" t="s">
        <v>273</v>
      </c>
      <c r="C142">
        <v>281</v>
      </c>
      <c r="D142" s="97">
        <v>985000</v>
      </c>
      <c r="E142" s="68">
        <f>C142*D142</f>
        <v>276785000</v>
      </c>
    </row>
    <row r="143" spans="1:7">
      <c r="B143" t="s">
        <v>274</v>
      </c>
      <c r="C143">
        <v>19</v>
      </c>
      <c r="D143" s="97">
        <v>985000</v>
      </c>
      <c r="E143" s="68">
        <f>C143*D143</f>
        <v>18715000</v>
      </c>
    </row>
    <row r="144" spans="1:7">
      <c r="E144" s="68">
        <f>SUM(E142:E143)</f>
        <v>295500000</v>
      </c>
    </row>
  </sheetData>
  <mergeCells count="9">
    <mergeCell ref="Y4:AA4"/>
    <mergeCell ref="R3:V3"/>
    <mergeCell ref="G1:P1"/>
    <mergeCell ref="C1:F1"/>
    <mergeCell ref="G2:I2"/>
    <mergeCell ref="J2:L2"/>
    <mergeCell ref="M2:O2"/>
    <mergeCell ref="T4:U4"/>
    <mergeCell ref="R4:S4"/>
  </mergeCells>
  <pageMargins left="0.7" right="0.7" top="0.75" bottom="0.75" header="0.3" footer="0.3"/>
  <pageSetup orientation="portrait" r:id="rId1"/>
  <ignoredErrors>
    <ignoredError sqref="X117:AA117" formula="1"/>
  </ignoredError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H39"/>
  <sheetViews>
    <sheetView topLeftCell="A10" workbookViewId="0">
      <selection activeCell="E10" sqref="E10"/>
    </sheetView>
  </sheetViews>
  <sheetFormatPr defaultRowHeight="14.5"/>
  <cols>
    <col min="2" max="2" width="19.1796875" customWidth="1"/>
    <col min="3" max="3" width="19.81640625" customWidth="1"/>
    <col min="4" max="4" width="10.08984375" customWidth="1"/>
    <col min="5" max="5" width="13.6328125" bestFit="1" customWidth="1"/>
    <col min="6" max="6" width="8.08984375" bestFit="1" customWidth="1"/>
    <col min="7" max="7" width="12.1796875" bestFit="1" customWidth="1"/>
  </cols>
  <sheetData>
    <row r="3" spans="2:8">
      <c r="C3" s="1" t="s">
        <v>298</v>
      </c>
      <c r="D3" s="1"/>
      <c r="E3" s="1"/>
      <c r="F3" s="1"/>
      <c r="G3" s="1"/>
    </row>
    <row r="4" spans="2:8">
      <c r="C4" s="1" t="s">
        <v>299</v>
      </c>
      <c r="D4" s="1"/>
      <c r="E4" s="1"/>
      <c r="F4" s="1"/>
      <c r="G4" s="1"/>
    </row>
    <row r="5" spans="2:8">
      <c r="B5" s="11"/>
      <c r="C5" s="10"/>
      <c r="D5" s="10" t="s">
        <v>300</v>
      </c>
      <c r="E5" s="10" t="s">
        <v>301</v>
      </c>
      <c r="F5" s="10" t="s">
        <v>304</v>
      </c>
      <c r="G5" s="10" t="s">
        <v>305</v>
      </c>
      <c r="H5" s="10" t="s">
        <v>306</v>
      </c>
    </row>
    <row r="6" spans="2:8">
      <c r="B6" s="11">
        <v>6</v>
      </c>
      <c r="C6" s="11" t="s">
        <v>292</v>
      </c>
      <c r="D6" s="11">
        <v>653</v>
      </c>
      <c r="E6" s="11">
        <v>717</v>
      </c>
      <c r="F6" s="11">
        <f t="shared" ref="F6:F13" si="0">E6-D6</f>
        <v>64</v>
      </c>
      <c r="G6" s="159">
        <f t="shared" ref="G6:G13" si="1">E6/D6*100</f>
        <v>109.80091883614089</v>
      </c>
      <c r="H6" s="11">
        <v>1</v>
      </c>
    </row>
    <row r="7" spans="2:8">
      <c r="B7" s="11">
        <v>2</v>
      </c>
      <c r="C7" s="11" t="s">
        <v>277</v>
      </c>
      <c r="D7" s="11">
        <v>102</v>
      </c>
      <c r="E7" s="11">
        <v>105</v>
      </c>
      <c r="F7" s="11">
        <f t="shared" si="0"/>
        <v>3</v>
      </c>
      <c r="G7" s="159">
        <f t="shared" si="1"/>
        <v>102.94117647058823</v>
      </c>
      <c r="H7" s="11">
        <v>2</v>
      </c>
    </row>
    <row r="8" spans="2:8">
      <c r="B8" s="11">
        <v>3</v>
      </c>
      <c r="C8" s="11" t="s">
        <v>279</v>
      </c>
      <c r="D8" s="11">
        <v>1695</v>
      </c>
      <c r="E8" s="11">
        <v>1536</v>
      </c>
      <c r="F8" s="11">
        <f t="shared" si="0"/>
        <v>-159</v>
      </c>
      <c r="G8" s="159">
        <f t="shared" si="1"/>
        <v>90.619469026548671</v>
      </c>
      <c r="H8" s="11">
        <v>3</v>
      </c>
    </row>
    <row r="9" spans="2:8">
      <c r="B9" s="11">
        <v>4</v>
      </c>
      <c r="C9" s="11" t="s">
        <v>302</v>
      </c>
      <c r="D9" s="11">
        <v>841</v>
      </c>
      <c r="E9" s="11">
        <v>671</v>
      </c>
      <c r="F9" s="11">
        <f t="shared" si="0"/>
        <v>-170</v>
      </c>
      <c r="G9" s="159">
        <f t="shared" si="1"/>
        <v>79.7859690844233</v>
      </c>
      <c r="H9" s="11">
        <v>4</v>
      </c>
    </row>
    <row r="10" spans="2:8">
      <c r="B10" s="11">
        <v>1</v>
      </c>
      <c r="C10" s="11" t="s">
        <v>278</v>
      </c>
      <c r="D10" s="11">
        <v>379</v>
      </c>
      <c r="E10" s="11">
        <v>279</v>
      </c>
      <c r="F10" s="11">
        <f t="shared" si="0"/>
        <v>-100</v>
      </c>
      <c r="G10" s="159">
        <f t="shared" si="1"/>
        <v>73.614775725593674</v>
      </c>
      <c r="H10" s="11">
        <v>5</v>
      </c>
    </row>
    <row r="11" spans="2:8">
      <c r="B11" s="11">
        <v>5</v>
      </c>
      <c r="C11" s="11" t="s">
        <v>275</v>
      </c>
      <c r="D11" s="11">
        <v>160</v>
      </c>
      <c r="E11" s="11">
        <v>100</v>
      </c>
      <c r="F11" s="11">
        <f t="shared" si="0"/>
        <v>-60</v>
      </c>
      <c r="G11" s="159">
        <f t="shared" si="1"/>
        <v>62.5</v>
      </c>
      <c r="H11" s="11">
        <v>6</v>
      </c>
    </row>
    <row r="12" spans="2:8">
      <c r="B12" s="11">
        <v>7</v>
      </c>
      <c r="C12" s="11" t="s">
        <v>303</v>
      </c>
      <c r="D12" s="11">
        <v>167</v>
      </c>
      <c r="E12" s="11">
        <v>34</v>
      </c>
      <c r="F12" s="11">
        <f t="shared" si="0"/>
        <v>-133</v>
      </c>
      <c r="G12" s="159">
        <f t="shared" si="1"/>
        <v>20.359281437125748</v>
      </c>
      <c r="H12" s="11">
        <v>7</v>
      </c>
    </row>
    <row r="13" spans="2:8">
      <c r="B13" s="11"/>
      <c r="C13" s="11" t="s">
        <v>307</v>
      </c>
      <c r="D13" s="12">
        <f>SUM(D6:D12)</f>
        <v>3997</v>
      </c>
      <c r="E13" s="12">
        <f>SUM(E6:E12)</f>
        <v>3442</v>
      </c>
      <c r="F13" s="11">
        <f t="shared" si="0"/>
        <v>-555</v>
      </c>
      <c r="G13" s="159">
        <f t="shared" si="1"/>
        <v>86.114585939454585</v>
      </c>
      <c r="H13" s="11"/>
    </row>
    <row r="14" spans="2:8">
      <c r="C14" s="160" t="s">
        <v>308</v>
      </c>
      <c r="E14" s="68">
        <v>2492</v>
      </c>
      <c r="F14" s="68">
        <f>E14-E13</f>
        <v>-950</v>
      </c>
    </row>
    <row r="15" spans="2:8">
      <c r="C15" s="160" t="s">
        <v>309</v>
      </c>
      <c r="E15" s="2">
        <f>(E13-E14)/E14</f>
        <v>0.3812199036918138</v>
      </c>
      <c r="G15" s="95"/>
    </row>
    <row r="16" spans="2:8">
      <c r="E16" s="95">
        <f>D13*(1+E15)</f>
        <v>5520.7359550561796</v>
      </c>
    </row>
    <row r="18" spans="4:4">
      <c r="D18" s="68">
        <f>E13+950</f>
        <v>4392</v>
      </c>
    </row>
    <row r="34" spans="2:5">
      <c r="C34" t="s">
        <v>310</v>
      </c>
    </row>
    <row r="35" spans="2:5">
      <c r="C35" t="s">
        <v>312</v>
      </c>
      <c r="D35" t="s">
        <v>317</v>
      </c>
    </row>
    <row r="36" spans="2:5">
      <c r="B36" t="s">
        <v>311</v>
      </c>
      <c r="C36" t="s">
        <v>314</v>
      </c>
      <c r="D36" s="97">
        <v>43786</v>
      </c>
      <c r="E36" s="68">
        <f>D36*D35</f>
        <v>64399603.117196001</v>
      </c>
    </row>
    <row r="37" spans="2:5">
      <c r="B37" t="s">
        <v>315</v>
      </c>
      <c r="C37" t="s">
        <v>316</v>
      </c>
      <c r="D37" s="97">
        <v>3416.25</v>
      </c>
      <c r="E37" s="68">
        <f>D37*D38</f>
        <v>5735435.7224775003</v>
      </c>
    </row>
    <row r="38" spans="2:5">
      <c r="B38" t="s">
        <v>313</v>
      </c>
      <c r="D38" t="s">
        <v>318</v>
      </c>
      <c r="E38" s="97">
        <v>72277194</v>
      </c>
    </row>
    <row r="39" spans="2:5">
      <c r="B39" t="s">
        <v>319</v>
      </c>
      <c r="E39" s="68">
        <f>SUM(E36:E38)</f>
        <v>142412232.83967352</v>
      </c>
    </row>
  </sheetData>
  <sortState ref="B6:H13">
    <sortCondition ref="H6:H13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2:K43"/>
  <sheetViews>
    <sheetView workbookViewId="0">
      <pane xSplit="1" ySplit="2" topLeftCell="C3" activePane="bottomRight" state="frozen"/>
      <selection pane="topRight" activeCell="B1" sqref="B1"/>
      <selection pane="bottomLeft" activeCell="A3" sqref="A3"/>
      <selection pane="bottomRight" activeCell="J22" sqref="J22"/>
    </sheetView>
  </sheetViews>
  <sheetFormatPr defaultRowHeight="14.5"/>
  <cols>
    <col min="1" max="1" width="42.81640625" customWidth="1"/>
    <col min="2" max="2" width="40.81640625" customWidth="1"/>
    <col min="3" max="3" width="16.26953125" customWidth="1"/>
    <col min="4" max="4" width="14.1796875" customWidth="1"/>
    <col min="5" max="5" width="11.1796875" customWidth="1"/>
    <col min="6" max="8" width="11.54296875" customWidth="1"/>
    <col min="10" max="10" width="13.7265625" customWidth="1"/>
  </cols>
  <sheetData>
    <row r="2" spans="1:11">
      <c r="A2" s="1"/>
      <c r="B2" s="1"/>
      <c r="C2" s="1" t="s">
        <v>23</v>
      </c>
      <c r="D2" s="1" t="s">
        <v>24</v>
      </c>
      <c r="E2" s="1" t="s">
        <v>25</v>
      </c>
      <c r="F2" s="1" t="s">
        <v>26</v>
      </c>
      <c r="G2" s="1" t="s">
        <v>50</v>
      </c>
      <c r="H2" s="1" t="s">
        <v>22</v>
      </c>
      <c r="I2" s="1" t="s">
        <v>45</v>
      </c>
      <c r="J2" s="1" t="s">
        <v>46</v>
      </c>
    </row>
    <row r="3" spans="1:11" hidden="1">
      <c r="A3" s="10" t="s">
        <v>43</v>
      </c>
      <c r="B3" s="10"/>
      <c r="C3" s="11"/>
      <c r="D3" s="16"/>
      <c r="E3" s="16"/>
      <c r="F3" s="16"/>
      <c r="G3" s="16"/>
      <c r="H3" s="16"/>
      <c r="I3" s="11"/>
      <c r="J3" s="11"/>
    </row>
    <row r="4" spans="1:11" hidden="1">
      <c r="A4" s="10"/>
      <c r="B4" s="10"/>
      <c r="C4" s="11"/>
      <c r="D4" s="16"/>
      <c r="E4" s="16"/>
      <c r="F4" s="16"/>
      <c r="G4" s="16"/>
      <c r="H4" s="16"/>
      <c r="I4" s="11"/>
      <c r="J4" s="12"/>
    </row>
    <row r="5" spans="1:11" hidden="1">
      <c r="A5" s="259" t="s">
        <v>30</v>
      </c>
      <c r="B5" s="11" t="s">
        <v>27</v>
      </c>
      <c r="C5" s="11">
        <v>22</v>
      </c>
      <c r="D5" s="11">
        <v>26</v>
      </c>
      <c r="E5" s="11">
        <v>76</v>
      </c>
      <c r="F5" s="11">
        <v>18</v>
      </c>
      <c r="G5" s="11"/>
      <c r="H5" s="11"/>
      <c r="I5" s="11">
        <v>0</v>
      </c>
      <c r="J5" s="13">
        <f>SUM(C5:I5)</f>
        <v>142</v>
      </c>
    </row>
    <row r="6" spans="1:11" hidden="1">
      <c r="A6" s="259"/>
      <c r="B6" s="11" t="s">
        <v>28</v>
      </c>
      <c r="C6" s="11">
        <v>0</v>
      </c>
      <c r="D6" s="11">
        <v>0</v>
      </c>
      <c r="E6" s="11">
        <v>0</v>
      </c>
      <c r="F6" s="11">
        <v>0</v>
      </c>
      <c r="G6" s="11"/>
      <c r="H6" s="11"/>
      <c r="I6" s="11">
        <v>0</v>
      </c>
      <c r="J6" s="13">
        <f>SUM(C6:I6)</f>
        <v>0</v>
      </c>
    </row>
    <row r="7" spans="1:11" hidden="1">
      <c r="A7" s="259" t="s">
        <v>31</v>
      </c>
      <c r="B7" s="11" t="s">
        <v>27</v>
      </c>
      <c r="C7" s="11">
        <f>35+4</f>
        <v>39</v>
      </c>
      <c r="D7" s="11">
        <v>63</v>
      </c>
      <c r="E7" s="11">
        <v>8</v>
      </c>
      <c r="F7" s="11">
        <v>17</v>
      </c>
      <c r="G7" s="11"/>
      <c r="H7" s="11"/>
      <c r="I7" s="11"/>
      <c r="J7" s="13">
        <f>SUM(C7:I7)</f>
        <v>127</v>
      </c>
    </row>
    <row r="8" spans="1:11" hidden="1">
      <c r="A8" s="259"/>
      <c r="B8" s="11" t="s">
        <v>28</v>
      </c>
      <c r="C8" s="10">
        <v>23</v>
      </c>
      <c r="D8" s="10"/>
      <c r="E8" s="10">
        <v>20</v>
      </c>
      <c r="F8" s="10">
        <v>19</v>
      </c>
      <c r="G8" s="10"/>
      <c r="H8" s="10"/>
      <c r="I8" s="10"/>
      <c r="J8" s="13">
        <f>SUM(C8:I8)</f>
        <v>62</v>
      </c>
    </row>
    <row r="9" spans="1:11" hidden="1">
      <c r="A9" s="21"/>
      <c r="B9" s="18"/>
      <c r="C9" s="18"/>
      <c r="D9" s="18"/>
      <c r="E9" s="18"/>
      <c r="F9" s="18"/>
      <c r="G9" s="18"/>
      <c r="H9" s="18"/>
      <c r="I9" s="18"/>
      <c r="J9" s="20">
        <f>SUM(J5:J8)</f>
        <v>331</v>
      </c>
    </row>
    <row r="10" spans="1:11" hidden="1">
      <c r="A10" s="10" t="s">
        <v>39</v>
      </c>
      <c r="B10" s="11" t="s">
        <v>27</v>
      </c>
      <c r="C10" s="11">
        <v>0</v>
      </c>
      <c r="D10" s="11">
        <v>0</v>
      </c>
      <c r="E10" s="11">
        <v>0</v>
      </c>
      <c r="F10" s="11">
        <v>0</v>
      </c>
      <c r="G10" s="11"/>
      <c r="H10" s="11"/>
      <c r="I10" s="11">
        <v>0</v>
      </c>
      <c r="J10" s="13">
        <v>0</v>
      </c>
    </row>
    <row r="11" spans="1:11" hidden="1">
      <c r="A11" s="11"/>
      <c r="B11" s="11" t="s">
        <v>28</v>
      </c>
      <c r="C11" s="11">
        <v>34</v>
      </c>
      <c r="D11" s="11">
        <v>0</v>
      </c>
      <c r="E11" s="11">
        <v>14</v>
      </c>
      <c r="F11" s="11">
        <v>14</v>
      </c>
      <c r="G11" s="11"/>
      <c r="H11" s="11"/>
      <c r="I11" s="11">
        <v>0</v>
      </c>
      <c r="J11" s="22">
        <f>SUM(C11:I11)</f>
        <v>62</v>
      </c>
      <c r="K11" t="e">
        <f>J11-'INCOME DETAILS'!#REF!</f>
        <v>#REF!</v>
      </c>
    </row>
    <row r="12" spans="1:11" hidden="1">
      <c r="A12" s="18"/>
      <c r="B12" s="19"/>
      <c r="C12" s="19"/>
      <c r="D12" s="19"/>
      <c r="E12" s="19"/>
      <c r="F12" s="19"/>
      <c r="G12" s="19"/>
      <c r="H12" s="19"/>
      <c r="I12" s="19"/>
      <c r="J12" s="20">
        <f>SUM(J10:J11)</f>
        <v>62</v>
      </c>
    </row>
    <row r="13" spans="1:11">
      <c r="A13" s="10" t="s">
        <v>40</v>
      </c>
      <c r="B13" s="11"/>
      <c r="C13" s="11"/>
      <c r="D13" s="11"/>
      <c r="E13" s="11"/>
      <c r="F13" s="11"/>
      <c r="G13" s="11"/>
      <c r="H13" s="11"/>
      <c r="I13" s="11"/>
      <c r="J13" s="13"/>
    </row>
    <row r="14" spans="1:11" ht="15.5">
      <c r="A14" s="259" t="s">
        <v>32</v>
      </c>
      <c r="B14" s="11" t="s">
        <v>27</v>
      </c>
      <c r="C14" s="14">
        <v>0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23"/>
    </row>
    <row r="15" spans="1:11" ht="15.5">
      <c r="A15" s="259"/>
      <c r="B15" s="11" t="s">
        <v>28</v>
      </c>
      <c r="C15" s="14">
        <v>0</v>
      </c>
      <c r="D15" s="14">
        <v>0</v>
      </c>
      <c r="E15" s="14">
        <v>0</v>
      </c>
      <c r="F15" s="14">
        <v>0</v>
      </c>
      <c r="G15" s="14">
        <v>0</v>
      </c>
      <c r="H15" s="14">
        <v>0</v>
      </c>
      <c r="I15" s="14">
        <v>0</v>
      </c>
      <c r="J15" s="15"/>
    </row>
    <row r="16" spans="1:11" ht="15.5">
      <c r="A16" s="259"/>
      <c r="B16" s="11" t="s">
        <v>29</v>
      </c>
      <c r="C16" s="14">
        <v>0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5"/>
    </row>
    <row r="17" spans="1:11" ht="15.5">
      <c r="A17" s="259" t="s">
        <v>34</v>
      </c>
      <c r="B17" s="11" t="s">
        <v>27</v>
      </c>
      <c r="C17" s="14">
        <v>38</v>
      </c>
      <c r="D17" s="14">
        <v>98</v>
      </c>
      <c r="E17" s="14"/>
      <c r="F17" s="14"/>
      <c r="G17" s="14"/>
      <c r="H17" s="14"/>
      <c r="I17" s="14"/>
      <c r="J17" s="15">
        <v>136</v>
      </c>
    </row>
    <row r="18" spans="1:11" ht="15.5">
      <c r="A18" s="259"/>
      <c r="B18" s="11" t="s">
        <v>28</v>
      </c>
      <c r="C18" s="14">
        <v>63</v>
      </c>
      <c r="D18" s="14">
        <v>17</v>
      </c>
      <c r="E18" s="14">
        <v>16</v>
      </c>
      <c r="F18" s="14">
        <v>12</v>
      </c>
      <c r="G18" s="14"/>
      <c r="H18" s="14">
        <v>12</v>
      </c>
      <c r="I18" s="14"/>
      <c r="J18" s="15">
        <v>120</v>
      </c>
    </row>
    <row r="19" spans="1:11" ht="15.5">
      <c r="A19" s="259"/>
      <c r="B19" s="11" t="s">
        <v>29</v>
      </c>
      <c r="C19" s="14">
        <v>140</v>
      </c>
      <c r="D19" s="14"/>
      <c r="E19" s="14">
        <v>5</v>
      </c>
      <c r="F19" s="14">
        <v>8</v>
      </c>
      <c r="G19" s="14"/>
      <c r="H19" s="14">
        <v>8</v>
      </c>
      <c r="I19" s="14"/>
      <c r="J19" s="15">
        <v>161</v>
      </c>
      <c r="K19">
        <v>137</v>
      </c>
    </row>
    <row r="20" spans="1:11" ht="15.5">
      <c r="A20" s="259" t="s">
        <v>33</v>
      </c>
      <c r="B20" s="11" t="s">
        <v>27</v>
      </c>
      <c r="C20" s="14">
        <v>54</v>
      </c>
      <c r="D20" s="14">
        <v>113</v>
      </c>
      <c r="E20" s="14"/>
      <c r="F20" s="14"/>
      <c r="G20" s="14"/>
      <c r="H20" s="14"/>
      <c r="I20" s="14"/>
      <c r="J20" s="15">
        <v>167</v>
      </c>
      <c r="K20" s="68">
        <f>J17+J20</f>
        <v>303</v>
      </c>
    </row>
    <row r="21" spans="1:11" ht="15.5">
      <c r="A21" s="259"/>
      <c r="B21" s="11" t="s">
        <v>28</v>
      </c>
      <c r="C21" s="14">
        <v>16</v>
      </c>
      <c r="D21" s="14">
        <v>48</v>
      </c>
      <c r="E21" s="14">
        <v>56</v>
      </c>
      <c r="F21" s="14">
        <v>33</v>
      </c>
      <c r="G21" s="14"/>
      <c r="H21" s="14">
        <v>33</v>
      </c>
      <c r="I21" s="14"/>
      <c r="J21" s="15">
        <v>186</v>
      </c>
      <c r="K21" s="68">
        <f>K20-K19</f>
        <v>166</v>
      </c>
    </row>
    <row r="22" spans="1:11" ht="15.5">
      <c r="A22" s="259"/>
      <c r="B22" s="11" t="s">
        <v>29</v>
      </c>
      <c r="C22" s="14">
        <v>137</v>
      </c>
      <c r="D22" s="14"/>
      <c r="E22" s="14">
        <v>69</v>
      </c>
      <c r="F22" s="14">
        <v>47</v>
      </c>
      <c r="G22" s="14"/>
      <c r="H22" s="14">
        <v>47</v>
      </c>
      <c r="I22" s="14"/>
      <c r="J22" s="15">
        <v>300</v>
      </c>
    </row>
    <row r="23" spans="1:11">
      <c r="A23" s="19" t="s">
        <v>41</v>
      </c>
      <c r="B23" s="18"/>
      <c r="C23" s="18"/>
      <c r="D23" s="18"/>
      <c r="E23" s="18"/>
      <c r="F23" s="18"/>
      <c r="G23" s="18"/>
      <c r="H23" s="18"/>
      <c r="I23" s="18"/>
      <c r="J23" s="20">
        <f>SUM(J14:J22)</f>
        <v>1070</v>
      </c>
    </row>
    <row r="24" spans="1:11">
      <c r="A24" s="259" t="s">
        <v>35</v>
      </c>
      <c r="B24" s="11" t="s">
        <v>27</v>
      </c>
      <c r="C24" s="11"/>
      <c r="D24" s="11"/>
      <c r="E24" s="11">
        <v>16</v>
      </c>
      <c r="F24" s="11">
        <v>45</v>
      </c>
      <c r="G24" s="11"/>
      <c r="H24" s="11"/>
      <c r="I24" s="11"/>
      <c r="J24" s="13">
        <f>SUM(C24:I24)</f>
        <v>61</v>
      </c>
    </row>
    <row r="25" spans="1:11">
      <c r="A25" s="259"/>
      <c r="B25" s="11" t="s">
        <v>28</v>
      </c>
      <c r="C25" s="11"/>
      <c r="D25" s="11"/>
      <c r="E25" s="11"/>
      <c r="F25" s="11"/>
      <c r="G25" s="11"/>
      <c r="H25" s="11"/>
      <c r="I25" s="11"/>
      <c r="J25" s="13">
        <f t="shared" ref="J25:J31" si="0">SUM(C25:I25)</f>
        <v>0</v>
      </c>
    </row>
    <row r="26" spans="1:11">
      <c r="A26" s="259" t="s">
        <v>36</v>
      </c>
      <c r="B26" s="11" t="s">
        <v>27</v>
      </c>
      <c r="C26" s="11"/>
      <c r="D26" s="11">
        <v>5</v>
      </c>
      <c r="E26" s="11"/>
      <c r="F26" s="11"/>
      <c r="G26" s="11"/>
      <c r="H26" s="11"/>
      <c r="I26" s="11"/>
      <c r="J26" s="13">
        <f t="shared" si="0"/>
        <v>5</v>
      </c>
    </row>
    <row r="27" spans="1:11">
      <c r="A27" s="259"/>
      <c r="B27" s="11" t="s">
        <v>28</v>
      </c>
      <c r="C27" s="11"/>
      <c r="D27" s="11"/>
      <c r="E27" s="11"/>
      <c r="F27" s="11"/>
      <c r="G27" s="11"/>
      <c r="H27" s="11"/>
      <c r="I27" s="11"/>
      <c r="J27" s="13">
        <f t="shared" si="0"/>
        <v>0</v>
      </c>
    </row>
    <row r="28" spans="1:11" ht="14.25" customHeight="1">
      <c r="A28" s="259" t="s">
        <v>37</v>
      </c>
      <c r="B28" s="11" t="s">
        <v>27</v>
      </c>
      <c r="C28" s="11">
        <f>43+40</f>
        <v>83</v>
      </c>
      <c r="D28" s="11"/>
      <c r="E28" s="11"/>
      <c r="F28" s="11"/>
      <c r="G28" s="11"/>
      <c r="H28" s="11"/>
      <c r="I28" s="11"/>
      <c r="J28" s="13">
        <f t="shared" si="0"/>
        <v>83</v>
      </c>
    </row>
    <row r="29" spans="1:11">
      <c r="A29" s="259"/>
      <c r="B29" s="11" t="s">
        <v>28</v>
      </c>
      <c r="C29" s="11"/>
      <c r="D29" s="11"/>
      <c r="E29" s="11"/>
      <c r="F29" s="11"/>
      <c r="G29" s="11"/>
      <c r="H29" s="11"/>
      <c r="I29" s="11"/>
      <c r="J29" s="13">
        <f t="shared" si="0"/>
        <v>0</v>
      </c>
    </row>
    <row r="30" spans="1:11">
      <c r="A30" s="259" t="s">
        <v>38</v>
      </c>
      <c r="B30" s="11" t="s">
        <v>27</v>
      </c>
      <c r="C30" s="11">
        <f>100+100</f>
        <v>200</v>
      </c>
      <c r="D30" s="11"/>
      <c r="E30" s="11"/>
      <c r="F30" s="11"/>
      <c r="G30" s="11"/>
      <c r="H30" s="11"/>
      <c r="I30" s="11"/>
      <c r="J30" s="13">
        <f t="shared" si="0"/>
        <v>200</v>
      </c>
    </row>
    <row r="31" spans="1:11">
      <c r="A31" s="259"/>
      <c r="B31" s="11" t="s">
        <v>28</v>
      </c>
      <c r="C31" s="11"/>
      <c r="D31" s="11"/>
      <c r="E31" s="11"/>
      <c r="F31" s="11"/>
      <c r="G31" s="11"/>
      <c r="H31" s="11"/>
      <c r="I31" s="11"/>
      <c r="J31" s="13">
        <f t="shared" si="0"/>
        <v>0</v>
      </c>
    </row>
    <row r="32" spans="1:11">
      <c r="A32" s="18"/>
      <c r="B32" s="18"/>
      <c r="C32" s="18"/>
      <c r="D32" s="18"/>
      <c r="E32" s="18"/>
      <c r="F32" s="18"/>
      <c r="G32" s="18"/>
      <c r="H32" s="18"/>
      <c r="I32" s="18"/>
      <c r="J32" s="20">
        <f>SUM(J24:J31)</f>
        <v>349</v>
      </c>
    </row>
    <row r="33" spans="1:10">
      <c r="A33" s="10" t="s">
        <v>42</v>
      </c>
      <c r="B33" s="11" t="s">
        <v>27</v>
      </c>
      <c r="C33" s="11">
        <v>57</v>
      </c>
      <c r="D33" s="11">
        <v>0</v>
      </c>
      <c r="E33" s="11">
        <v>30</v>
      </c>
      <c r="F33" s="11">
        <v>32</v>
      </c>
      <c r="G33" s="11"/>
      <c r="H33" s="11"/>
      <c r="I33" s="11">
        <v>1</v>
      </c>
      <c r="J33" s="13">
        <f>SUM(C33:I33)</f>
        <v>120</v>
      </c>
    </row>
    <row r="34" spans="1:10">
      <c r="A34" s="11"/>
      <c r="B34" s="11" t="s">
        <v>28</v>
      </c>
      <c r="C34" s="11">
        <v>0</v>
      </c>
      <c r="D34" s="11">
        <v>0</v>
      </c>
      <c r="E34" s="11">
        <v>0</v>
      </c>
      <c r="F34" s="11">
        <v>0</v>
      </c>
      <c r="G34" s="11"/>
      <c r="H34" s="11"/>
      <c r="I34" s="11"/>
      <c r="J34" s="13">
        <f>SUM(C34:I34)</f>
        <v>0</v>
      </c>
    </row>
    <row r="35" spans="1:10">
      <c r="A35" s="18"/>
      <c r="B35" s="18"/>
      <c r="C35" s="18"/>
      <c r="D35" s="18"/>
      <c r="E35" s="18"/>
      <c r="F35" s="18"/>
      <c r="G35" s="18"/>
      <c r="H35" s="18"/>
      <c r="I35" s="18"/>
      <c r="J35" s="20">
        <f>SUM(J33:J34)</f>
        <v>120</v>
      </c>
    </row>
    <row r="36" spans="1:10">
      <c r="A36" s="10" t="s">
        <v>44</v>
      </c>
      <c r="B36" s="11" t="s">
        <v>27</v>
      </c>
      <c r="C36" s="11">
        <v>40</v>
      </c>
      <c r="D36" s="11">
        <v>113</v>
      </c>
      <c r="E36" s="11"/>
      <c r="F36" s="11"/>
      <c r="G36" s="11"/>
      <c r="H36" s="11">
        <v>18</v>
      </c>
      <c r="I36" s="11"/>
      <c r="J36" s="13">
        <f>SUM(C36:I36)</f>
        <v>171</v>
      </c>
    </row>
    <row r="37" spans="1:10">
      <c r="A37" s="11"/>
      <c r="B37" s="11" t="s">
        <v>28</v>
      </c>
      <c r="C37" s="11">
        <v>27</v>
      </c>
      <c r="D37" s="11">
        <v>101</v>
      </c>
      <c r="E37" s="11">
        <v>48</v>
      </c>
      <c r="F37" s="11">
        <v>74</v>
      </c>
      <c r="G37" s="11"/>
      <c r="H37" s="11">
        <v>62</v>
      </c>
      <c r="I37" s="11"/>
      <c r="J37" s="13">
        <f>SUM(C37:I37)</f>
        <v>312</v>
      </c>
    </row>
    <row r="38" spans="1:10">
      <c r="A38" s="18"/>
      <c r="B38" s="18"/>
      <c r="C38" s="18"/>
      <c r="D38" s="18"/>
      <c r="E38" s="18"/>
      <c r="F38" s="18"/>
      <c r="G38" s="18"/>
      <c r="H38" s="18"/>
      <c r="I38" s="18"/>
      <c r="J38" s="24">
        <f>SUM(J36:J37)</f>
        <v>483</v>
      </c>
    </row>
    <row r="39" spans="1:10">
      <c r="A39" s="10" t="s">
        <v>47</v>
      </c>
      <c r="B39" s="11"/>
      <c r="C39" s="11"/>
      <c r="D39" s="11"/>
      <c r="E39" s="11"/>
      <c r="F39" s="11"/>
      <c r="G39" s="11"/>
      <c r="H39" s="11"/>
      <c r="I39" s="11"/>
      <c r="J39" s="13"/>
    </row>
    <row r="40" spans="1:10">
      <c r="A40" s="11"/>
      <c r="B40" s="11" t="s">
        <v>48</v>
      </c>
      <c r="C40" s="11"/>
      <c r="D40" s="11"/>
      <c r="E40" s="11"/>
      <c r="F40" s="11"/>
      <c r="G40" s="11">
        <v>70</v>
      </c>
      <c r="H40" s="11"/>
      <c r="I40" s="11"/>
      <c r="J40" s="13">
        <f>SUM(G40:I40)</f>
        <v>70</v>
      </c>
    </row>
    <row r="41" spans="1:10">
      <c r="A41" s="11"/>
      <c r="B41" s="11" t="s">
        <v>49</v>
      </c>
      <c r="C41" s="11"/>
      <c r="D41" s="11"/>
      <c r="E41" s="11"/>
      <c r="F41" s="11"/>
      <c r="G41" s="11">
        <v>7</v>
      </c>
      <c r="H41" s="11"/>
      <c r="I41" s="11"/>
      <c r="J41" s="13">
        <f>SUM(G41:I41)</f>
        <v>7</v>
      </c>
    </row>
    <row r="42" spans="1:10">
      <c r="A42" s="18"/>
      <c r="B42" s="18"/>
      <c r="C42" s="18"/>
      <c r="D42" s="18"/>
      <c r="E42" s="18"/>
      <c r="F42" s="18"/>
      <c r="G42" s="18"/>
      <c r="H42" s="18"/>
      <c r="I42" s="18"/>
      <c r="J42" s="20">
        <f>SUM(J40:J41)</f>
        <v>77</v>
      </c>
    </row>
    <row r="43" spans="1:10">
      <c r="A43" s="17" t="s">
        <v>51</v>
      </c>
      <c r="B43" s="17"/>
      <c r="C43" s="17"/>
      <c r="D43" s="17"/>
      <c r="E43" s="17"/>
      <c r="F43" s="17"/>
      <c r="G43" s="17"/>
      <c r="H43" s="25">
        <f>SUM(H14:H42)</f>
        <v>180</v>
      </c>
      <c r="I43" s="25">
        <f t="shared" ref="I43" si="1">I9+I12+I23+I32+I35+I38+I42</f>
        <v>0</v>
      </c>
      <c r="J43" s="25">
        <f>J9+J12+J23+J32+J35+J38+J42</f>
        <v>2492</v>
      </c>
    </row>
  </sheetData>
  <mergeCells count="9">
    <mergeCell ref="A24:A25"/>
    <mergeCell ref="A26:A27"/>
    <mergeCell ref="A28:A29"/>
    <mergeCell ref="A30:A31"/>
    <mergeCell ref="A5:A6"/>
    <mergeCell ref="A7:A8"/>
    <mergeCell ref="A14:A16"/>
    <mergeCell ref="A17:A19"/>
    <mergeCell ref="A20:A22"/>
  </mergeCells>
  <phoneticPr fontId="9" type="noConversion"/>
  <pageMargins left="0.7" right="0.7" top="0.75" bottom="0.75" header="0.3" footer="0.3"/>
  <ignoredErrors>
    <ignoredError sqref="J32" formula="1"/>
  </ignoredErrors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25"/>
  <sheetViews>
    <sheetView workbookViewId="0">
      <selection activeCell="M23" sqref="M23"/>
    </sheetView>
  </sheetViews>
  <sheetFormatPr defaultRowHeight="14.5"/>
  <sheetData>
    <row r="2" spans="1:13">
      <c r="A2" s="1"/>
      <c r="B2" s="1"/>
      <c r="C2" s="1" t="s">
        <v>23</v>
      </c>
      <c r="D2" s="1" t="s">
        <v>24</v>
      </c>
      <c r="E2" s="1" t="s">
        <v>25</v>
      </c>
      <c r="F2" s="1" t="s">
        <v>26</v>
      </c>
      <c r="G2" s="1" t="s">
        <v>50</v>
      </c>
      <c r="H2" s="1" t="s">
        <v>22</v>
      </c>
      <c r="I2" s="1" t="s">
        <v>45</v>
      </c>
      <c r="J2" s="1" t="s">
        <v>46</v>
      </c>
    </row>
    <row r="3" spans="1:13">
      <c r="A3" s="10" t="s">
        <v>40</v>
      </c>
      <c r="B3" s="11"/>
      <c r="C3" s="11"/>
      <c r="D3" s="11"/>
      <c r="E3" s="11"/>
      <c r="F3" s="11"/>
      <c r="G3" s="11"/>
      <c r="H3" s="11"/>
      <c r="I3" s="11"/>
      <c r="J3" s="13"/>
    </row>
    <row r="4" spans="1:13" ht="15.5">
      <c r="A4" s="26" t="s">
        <v>32</v>
      </c>
      <c r="B4" s="11" t="s">
        <v>27</v>
      </c>
      <c r="C4" s="14">
        <v>0</v>
      </c>
      <c r="D4" s="14">
        <v>0</v>
      </c>
      <c r="E4" s="14">
        <v>0</v>
      </c>
      <c r="F4" s="14">
        <v>0</v>
      </c>
      <c r="G4" s="14">
        <v>0</v>
      </c>
      <c r="H4" s="14">
        <v>0</v>
      </c>
      <c r="I4" s="14">
        <v>0</v>
      </c>
      <c r="J4" s="23"/>
    </row>
    <row r="5" spans="1:13" ht="15.5">
      <c r="A5" s="26"/>
      <c r="B5" s="11" t="s">
        <v>28</v>
      </c>
      <c r="C5" s="14">
        <v>0</v>
      </c>
      <c r="D5" s="14">
        <v>0</v>
      </c>
      <c r="E5" s="14">
        <v>0</v>
      </c>
      <c r="F5" s="14">
        <v>0</v>
      </c>
      <c r="G5" s="14">
        <v>0</v>
      </c>
      <c r="H5" s="14">
        <v>0</v>
      </c>
      <c r="I5" s="14">
        <v>0</v>
      </c>
      <c r="J5" s="15"/>
    </row>
    <row r="6" spans="1:13" ht="15.5">
      <c r="A6" s="26"/>
      <c r="B6" s="11" t="s">
        <v>29</v>
      </c>
      <c r="C6" s="14">
        <v>0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5"/>
    </row>
    <row r="7" spans="1:13" ht="15.5">
      <c r="A7" s="26" t="s">
        <v>34</v>
      </c>
      <c r="B7" s="11" t="s">
        <v>27</v>
      </c>
      <c r="C7" s="14">
        <v>38</v>
      </c>
      <c r="D7" s="14">
        <v>98</v>
      </c>
      <c r="E7" s="14"/>
      <c r="F7" s="14"/>
      <c r="G7" s="14"/>
      <c r="H7" s="14"/>
      <c r="I7" s="14"/>
      <c r="J7" s="15">
        <v>136</v>
      </c>
    </row>
    <row r="8" spans="1:13" ht="15.5">
      <c r="A8" s="26"/>
      <c r="B8" s="11" t="s">
        <v>28</v>
      </c>
      <c r="C8" s="14">
        <v>63</v>
      </c>
      <c r="D8" s="14">
        <v>17</v>
      </c>
      <c r="E8" s="14">
        <v>16</v>
      </c>
      <c r="F8" s="14">
        <v>12</v>
      </c>
      <c r="G8" s="14"/>
      <c r="H8" s="14">
        <v>12</v>
      </c>
      <c r="I8" s="14"/>
      <c r="J8" s="15">
        <v>120</v>
      </c>
    </row>
    <row r="9" spans="1:13" ht="15.5">
      <c r="A9" s="26"/>
      <c r="B9" s="11" t="s">
        <v>29</v>
      </c>
      <c r="C9" s="14">
        <v>140</v>
      </c>
      <c r="D9" s="14"/>
      <c r="E9" s="14">
        <v>5</v>
      </c>
      <c r="F9" s="14">
        <v>8</v>
      </c>
      <c r="G9" s="14"/>
      <c r="H9" s="14">
        <v>8</v>
      </c>
      <c r="I9" s="14"/>
      <c r="J9" s="15">
        <v>161</v>
      </c>
    </row>
    <row r="10" spans="1:13" ht="15.5">
      <c r="A10" s="26" t="s">
        <v>33</v>
      </c>
      <c r="B10" s="11" t="s">
        <v>27</v>
      </c>
      <c r="C10" s="14">
        <v>54</v>
      </c>
      <c r="D10" s="14">
        <v>113</v>
      </c>
      <c r="E10" s="14"/>
      <c r="F10" s="14"/>
      <c r="G10" s="14"/>
      <c r="H10" s="14"/>
      <c r="I10" s="14"/>
      <c r="J10" s="15">
        <v>167</v>
      </c>
    </row>
    <row r="11" spans="1:13" ht="15.5">
      <c r="A11" s="26"/>
      <c r="B11" s="11" t="s">
        <v>28</v>
      </c>
      <c r="C11" s="14">
        <v>16</v>
      </c>
      <c r="D11" s="14">
        <v>48</v>
      </c>
      <c r="E11" s="14">
        <v>56</v>
      </c>
      <c r="F11" s="14">
        <v>33</v>
      </c>
      <c r="G11" s="14"/>
      <c r="H11" s="14">
        <v>33</v>
      </c>
      <c r="I11" s="14"/>
      <c r="J11" s="15">
        <v>186</v>
      </c>
    </row>
    <row r="12" spans="1:13" ht="15.5">
      <c r="A12" s="26"/>
      <c r="B12" s="11" t="s">
        <v>29</v>
      </c>
      <c r="C12" s="14">
        <v>137</v>
      </c>
      <c r="D12" s="14"/>
      <c r="E12" s="14">
        <v>69</v>
      </c>
      <c r="F12" s="14">
        <v>47</v>
      </c>
      <c r="G12" s="14"/>
      <c r="H12" s="14">
        <v>47</v>
      </c>
      <c r="I12" s="14"/>
      <c r="J12" s="15">
        <v>300</v>
      </c>
    </row>
    <row r="16" spans="1:13">
      <c r="C16" s="1"/>
      <c r="D16" s="10" t="s">
        <v>40</v>
      </c>
      <c r="E16" s="26" t="s">
        <v>32</v>
      </c>
      <c r="F16" s="26"/>
      <c r="G16" s="26"/>
      <c r="H16" s="26" t="s">
        <v>34</v>
      </c>
      <c r="I16" s="26"/>
      <c r="J16" s="26"/>
      <c r="K16" s="26" t="s">
        <v>33</v>
      </c>
      <c r="L16" s="26"/>
      <c r="M16" s="26"/>
    </row>
    <row r="17" spans="3:13">
      <c r="C17" s="1"/>
      <c r="D17" s="11"/>
      <c r="E17" s="11" t="s">
        <v>27</v>
      </c>
      <c r="F17" s="11" t="s">
        <v>28</v>
      </c>
      <c r="G17" s="11" t="s">
        <v>29</v>
      </c>
      <c r="H17" s="11" t="s">
        <v>27</v>
      </c>
      <c r="I17" s="11" t="s">
        <v>28</v>
      </c>
      <c r="J17" s="11" t="s">
        <v>29</v>
      </c>
      <c r="K17" s="11" t="s">
        <v>27</v>
      </c>
      <c r="L17" s="11" t="s">
        <v>28</v>
      </c>
      <c r="M17" s="11" t="s">
        <v>29</v>
      </c>
    </row>
    <row r="18" spans="3:13" ht="15.5">
      <c r="C18" s="1" t="s">
        <v>23</v>
      </c>
      <c r="D18" s="11"/>
      <c r="E18" s="14">
        <v>0</v>
      </c>
      <c r="F18" s="14">
        <v>0</v>
      </c>
      <c r="G18" s="14">
        <v>0</v>
      </c>
      <c r="H18" s="14">
        <v>38</v>
      </c>
      <c r="I18" s="14">
        <v>63</v>
      </c>
      <c r="J18" s="14">
        <v>140</v>
      </c>
      <c r="K18" s="14">
        <v>54</v>
      </c>
      <c r="L18" s="14">
        <v>16</v>
      </c>
      <c r="M18" s="14">
        <v>137</v>
      </c>
    </row>
    <row r="19" spans="3:13" ht="15.5">
      <c r="C19" s="1" t="s">
        <v>24</v>
      </c>
      <c r="D19" s="11"/>
      <c r="E19" s="14">
        <v>0</v>
      </c>
      <c r="F19" s="14">
        <v>0</v>
      </c>
      <c r="G19" s="14">
        <v>0</v>
      </c>
      <c r="H19" s="14">
        <v>98</v>
      </c>
      <c r="I19" s="14">
        <v>17</v>
      </c>
      <c r="J19" s="14"/>
      <c r="K19" s="14">
        <v>113</v>
      </c>
      <c r="L19" s="14">
        <v>48</v>
      </c>
      <c r="M19" s="14"/>
    </row>
    <row r="20" spans="3:13" ht="15.5">
      <c r="C20" s="1" t="s">
        <v>25</v>
      </c>
      <c r="D20" s="11"/>
      <c r="E20" s="14">
        <v>0</v>
      </c>
      <c r="F20" s="14">
        <v>0</v>
      </c>
      <c r="G20" s="14">
        <v>0</v>
      </c>
      <c r="H20" s="14"/>
      <c r="I20" s="14">
        <v>16</v>
      </c>
      <c r="J20" s="14">
        <v>5</v>
      </c>
      <c r="K20" s="14"/>
      <c r="L20" s="14">
        <v>56</v>
      </c>
      <c r="M20" s="14">
        <v>69</v>
      </c>
    </row>
    <row r="21" spans="3:13" ht="15.5">
      <c r="C21" s="1" t="s">
        <v>26</v>
      </c>
      <c r="D21" s="11"/>
      <c r="E21" s="14">
        <v>0</v>
      </c>
      <c r="F21" s="14">
        <v>0</v>
      </c>
      <c r="G21" s="14">
        <v>0</v>
      </c>
      <c r="H21" s="14"/>
      <c r="I21" s="14">
        <v>12</v>
      </c>
      <c r="J21" s="14">
        <v>8</v>
      </c>
      <c r="K21" s="14"/>
      <c r="L21" s="14">
        <v>33</v>
      </c>
      <c r="M21" s="14">
        <v>47</v>
      </c>
    </row>
    <row r="22" spans="3:13" ht="15.5">
      <c r="C22" s="1" t="s">
        <v>50</v>
      </c>
      <c r="D22" s="11"/>
      <c r="E22" s="14">
        <v>0</v>
      </c>
      <c r="F22" s="14">
        <v>0</v>
      </c>
      <c r="G22" s="14">
        <v>0</v>
      </c>
      <c r="H22" s="14"/>
      <c r="I22" s="14"/>
      <c r="J22" s="14"/>
      <c r="K22" s="14"/>
      <c r="L22" s="14"/>
      <c r="M22" s="14"/>
    </row>
    <row r="23" spans="3:13" ht="15.5">
      <c r="C23" s="1" t="s">
        <v>22</v>
      </c>
      <c r="D23" s="11"/>
      <c r="E23" s="14">
        <v>0</v>
      </c>
      <c r="F23" s="14">
        <v>0</v>
      </c>
      <c r="G23" s="14">
        <v>0</v>
      </c>
      <c r="H23" s="14"/>
      <c r="I23" s="14">
        <v>12</v>
      </c>
      <c r="J23" s="14">
        <v>8</v>
      </c>
      <c r="K23" s="14"/>
      <c r="L23" s="14">
        <v>33</v>
      </c>
      <c r="M23" s="14">
        <v>47</v>
      </c>
    </row>
    <row r="24" spans="3:13" ht="15.5">
      <c r="C24" s="1" t="s">
        <v>45</v>
      </c>
      <c r="D24" s="11"/>
      <c r="E24" s="14">
        <v>0</v>
      </c>
      <c r="F24" s="14">
        <v>0</v>
      </c>
      <c r="G24" s="14">
        <v>0</v>
      </c>
      <c r="H24" s="14"/>
      <c r="I24" s="14"/>
      <c r="J24" s="14"/>
      <c r="K24" s="14"/>
      <c r="L24" s="14"/>
      <c r="M24" s="14"/>
    </row>
    <row r="25" spans="3:13" ht="15.5">
      <c r="C25" s="1" t="s">
        <v>46</v>
      </c>
      <c r="D25" s="13"/>
      <c r="E25" s="23"/>
      <c r="F25" s="15"/>
      <c r="G25" s="15"/>
      <c r="H25" s="15">
        <v>136</v>
      </c>
      <c r="I25" s="15">
        <v>120</v>
      </c>
      <c r="J25" s="15">
        <v>161</v>
      </c>
      <c r="K25" s="15">
        <v>167</v>
      </c>
      <c r="L25" s="15">
        <v>186</v>
      </c>
      <c r="M25" s="15">
        <v>300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7"/>
  <sheetViews>
    <sheetView topLeftCell="A4" zoomScale="150" zoomScaleNormal="150" workbookViewId="0">
      <selection activeCell="B6" sqref="B6:B13"/>
    </sheetView>
  </sheetViews>
  <sheetFormatPr defaultRowHeight="14.5"/>
  <cols>
    <col min="1" max="1" width="26.81640625" bestFit="1" customWidth="1"/>
    <col min="2" max="2" width="14.7265625" customWidth="1"/>
  </cols>
  <sheetData>
    <row r="1" spans="1:2">
      <c r="A1" s="99" t="s">
        <v>257</v>
      </c>
    </row>
    <row r="2" spans="1:2">
      <c r="A2" t="s">
        <v>212</v>
      </c>
      <c r="B2" s="97">
        <f>20000*2</f>
        <v>40000</v>
      </c>
    </row>
    <row r="3" spans="1:2">
      <c r="A3" t="s">
        <v>213</v>
      </c>
      <c r="B3" s="97">
        <v>20000</v>
      </c>
    </row>
    <row r="4" spans="1:2">
      <c r="A4" t="s">
        <v>214</v>
      </c>
      <c r="B4" s="97">
        <v>20000</v>
      </c>
    </row>
    <row r="5" spans="1:2">
      <c r="A5" t="s">
        <v>215</v>
      </c>
      <c r="B5" s="97">
        <v>15000</v>
      </c>
    </row>
    <row r="6" spans="1:2">
      <c r="A6" t="s">
        <v>216</v>
      </c>
      <c r="B6" s="97">
        <v>10000</v>
      </c>
    </row>
    <row r="7" spans="1:2">
      <c r="A7" t="s">
        <v>217</v>
      </c>
      <c r="B7" s="97">
        <v>10000</v>
      </c>
    </row>
    <row r="8" spans="1:2">
      <c r="A8" t="s">
        <v>218</v>
      </c>
      <c r="B8" s="97">
        <v>10000</v>
      </c>
    </row>
    <row r="9" spans="1:2">
      <c r="A9" t="s">
        <v>219</v>
      </c>
      <c r="B9" s="97">
        <v>10000</v>
      </c>
    </row>
    <row r="10" spans="1:2">
      <c r="A10" t="s">
        <v>220</v>
      </c>
      <c r="B10" s="97">
        <v>10000</v>
      </c>
    </row>
    <row r="11" spans="1:2">
      <c r="A11" t="s">
        <v>221</v>
      </c>
      <c r="B11" s="97">
        <v>10000</v>
      </c>
    </row>
    <row r="12" spans="1:2">
      <c r="A12" t="s">
        <v>222</v>
      </c>
      <c r="B12" s="97">
        <v>10000</v>
      </c>
    </row>
    <row r="13" spans="1:2">
      <c r="A13" t="s">
        <v>223</v>
      </c>
      <c r="B13" s="97">
        <v>10000</v>
      </c>
    </row>
    <row r="14" spans="1:2">
      <c r="A14" t="s">
        <v>224</v>
      </c>
      <c r="B14" s="97">
        <v>10000</v>
      </c>
    </row>
    <row r="15" spans="1:2">
      <c r="A15" t="s">
        <v>225</v>
      </c>
      <c r="B15" s="97">
        <v>10000</v>
      </c>
    </row>
    <row r="16" spans="1:2">
      <c r="A16" t="s">
        <v>226</v>
      </c>
      <c r="B16" s="97">
        <v>10000</v>
      </c>
    </row>
    <row r="17" spans="1:2">
      <c r="A17" t="s">
        <v>227</v>
      </c>
      <c r="B17" s="97">
        <v>10000</v>
      </c>
    </row>
    <row r="18" spans="1:2">
      <c r="A18" t="s">
        <v>228</v>
      </c>
      <c r="B18" s="97">
        <v>10000</v>
      </c>
    </row>
    <row r="19" spans="1:2">
      <c r="A19" t="s">
        <v>229</v>
      </c>
      <c r="B19" s="97">
        <v>10000</v>
      </c>
    </row>
    <row r="20" spans="1:2">
      <c r="A20" t="s">
        <v>230</v>
      </c>
      <c r="B20" s="97">
        <v>10000</v>
      </c>
    </row>
    <row r="21" spans="1:2">
      <c r="A21" t="s">
        <v>231</v>
      </c>
      <c r="B21" s="97">
        <v>10000</v>
      </c>
    </row>
    <row r="22" spans="1:2">
      <c r="A22" t="s">
        <v>232</v>
      </c>
      <c r="B22" s="97">
        <v>10000</v>
      </c>
    </row>
    <row r="23" spans="1:2">
      <c r="A23" t="s">
        <v>233</v>
      </c>
      <c r="B23" s="97">
        <v>10000</v>
      </c>
    </row>
    <row r="24" spans="1:2">
      <c r="A24" t="s">
        <v>234</v>
      </c>
      <c r="B24" s="97">
        <v>10000</v>
      </c>
    </row>
    <row r="25" spans="1:2">
      <c r="A25" t="s">
        <v>235</v>
      </c>
      <c r="B25" s="97">
        <v>10000</v>
      </c>
    </row>
    <row r="26" spans="1:2">
      <c r="A26" t="s">
        <v>236</v>
      </c>
      <c r="B26" s="97">
        <v>10000</v>
      </c>
    </row>
    <row r="27" spans="1:2">
      <c r="A27" t="s">
        <v>237</v>
      </c>
      <c r="B27" s="97">
        <v>10000</v>
      </c>
    </row>
    <row r="28" spans="1:2">
      <c r="A28" t="s">
        <v>238</v>
      </c>
      <c r="B28" s="97">
        <v>10000</v>
      </c>
    </row>
    <row r="29" spans="1:2">
      <c r="A29" t="s">
        <v>239</v>
      </c>
      <c r="B29" s="97">
        <v>10000</v>
      </c>
    </row>
    <row r="30" spans="1:2">
      <c r="A30" t="s">
        <v>240</v>
      </c>
      <c r="B30" s="97">
        <v>10000</v>
      </c>
    </row>
    <row r="31" spans="1:2">
      <c r="A31" t="s">
        <v>241</v>
      </c>
      <c r="B31" s="97">
        <v>10000</v>
      </c>
    </row>
    <row r="32" spans="1:2">
      <c r="A32" t="s">
        <v>242</v>
      </c>
      <c r="B32" s="97">
        <v>10000</v>
      </c>
    </row>
    <row r="33" spans="1:2">
      <c r="A33" t="s">
        <v>243</v>
      </c>
      <c r="B33" s="97">
        <v>10000</v>
      </c>
    </row>
    <row r="34" spans="1:2">
      <c r="A34" t="s">
        <v>244</v>
      </c>
      <c r="B34" s="97">
        <v>10000</v>
      </c>
    </row>
    <row r="35" spans="1:2">
      <c r="A35" t="s">
        <v>245</v>
      </c>
      <c r="B35" s="97">
        <v>10000</v>
      </c>
    </row>
    <row r="36" spans="1:2">
      <c r="A36" t="s">
        <v>246</v>
      </c>
      <c r="B36" s="97">
        <v>10000</v>
      </c>
    </row>
    <row r="37" spans="1:2">
      <c r="A37" t="s">
        <v>247</v>
      </c>
      <c r="B37" s="97">
        <v>10000</v>
      </c>
    </row>
    <row r="38" spans="1:2">
      <c r="A38" t="s">
        <v>248</v>
      </c>
      <c r="B38" s="97">
        <v>10000</v>
      </c>
    </row>
    <row r="39" spans="1:2">
      <c r="A39" t="s">
        <v>249</v>
      </c>
      <c r="B39" s="97">
        <v>10000</v>
      </c>
    </row>
    <row r="40" spans="1:2">
      <c r="A40" s="100" t="s">
        <v>250</v>
      </c>
      <c r="B40" s="97">
        <v>5000</v>
      </c>
    </row>
    <row r="41" spans="1:2">
      <c r="A41" s="100" t="s">
        <v>251</v>
      </c>
      <c r="B41" s="97">
        <v>5000</v>
      </c>
    </row>
    <row r="42" spans="1:2">
      <c r="A42" t="s">
        <v>252</v>
      </c>
      <c r="B42" s="97">
        <v>5000</v>
      </c>
    </row>
    <row r="43" spans="1:2">
      <c r="A43" t="s">
        <v>253</v>
      </c>
      <c r="B43" s="97">
        <v>5000</v>
      </c>
    </row>
    <row r="44" spans="1:2">
      <c r="A44" t="s">
        <v>254</v>
      </c>
      <c r="B44" s="97">
        <v>5000</v>
      </c>
    </row>
    <row r="45" spans="1:2">
      <c r="A45" s="101" t="s">
        <v>255</v>
      </c>
      <c r="B45" s="97">
        <v>3000</v>
      </c>
    </row>
    <row r="46" spans="1:2">
      <c r="A46" s="101" t="s">
        <v>256</v>
      </c>
      <c r="B46" s="97">
        <v>3000</v>
      </c>
    </row>
    <row r="47" spans="1:2">
      <c r="B47" s="68">
        <f>SUM(B2:B46)</f>
        <v>466000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4"/>
  <sheetViews>
    <sheetView topLeftCell="A19" zoomScale="150" zoomScaleNormal="150" workbookViewId="0">
      <selection activeCell="B24" sqref="B24"/>
    </sheetView>
  </sheetViews>
  <sheetFormatPr defaultRowHeight="14.5"/>
  <cols>
    <col min="1" max="1" width="26.81640625" bestFit="1" customWidth="1"/>
    <col min="2" max="2" width="10.54296875" bestFit="1" customWidth="1"/>
  </cols>
  <sheetData>
    <row r="1" spans="1:2">
      <c r="A1" t="s">
        <v>261</v>
      </c>
    </row>
    <row r="2" spans="1:2">
      <c r="A2" t="s">
        <v>216</v>
      </c>
      <c r="B2" s="97">
        <v>200000</v>
      </c>
    </row>
    <row r="3" spans="1:2">
      <c r="A3" t="s">
        <v>217</v>
      </c>
      <c r="B3" s="97">
        <v>200000</v>
      </c>
    </row>
    <row r="4" spans="1:2">
      <c r="A4" t="s">
        <v>218</v>
      </c>
      <c r="B4" s="97">
        <v>200000</v>
      </c>
    </row>
    <row r="5" spans="1:2">
      <c r="A5" t="s">
        <v>219</v>
      </c>
      <c r="B5" s="97">
        <v>200000</v>
      </c>
    </row>
    <row r="6" spans="1:2">
      <c r="A6" t="s">
        <v>220</v>
      </c>
      <c r="B6" s="97">
        <v>200000</v>
      </c>
    </row>
    <row r="7" spans="1:2">
      <c r="A7" t="s">
        <v>221</v>
      </c>
      <c r="B7" s="97">
        <v>200000</v>
      </c>
    </row>
    <row r="8" spans="1:2">
      <c r="A8" t="s">
        <v>224</v>
      </c>
      <c r="B8" s="97">
        <v>150000</v>
      </c>
    </row>
    <row r="9" spans="1:2">
      <c r="A9" t="s">
        <v>225</v>
      </c>
      <c r="B9" s="97">
        <v>150000</v>
      </c>
    </row>
    <row r="10" spans="1:2">
      <c r="A10" t="s">
        <v>226</v>
      </c>
      <c r="B10" s="97">
        <v>150000</v>
      </c>
    </row>
    <row r="11" spans="1:2">
      <c r="A11" t="s">
        <v>227</v>
      </c>
      <c r="B11" s="97">
        <v>150000</v>
      </c>
    </row>
    <row r="12" spans="1:2">
      <c r="A12" t="s">
        <v>228</v>
      </c>
      <c r="B12" s="97">
        <v>150000</v>
      </c>
    </row>
    <row r="13" spans="1:2">
      <c r="A13" t="s">
        <v>229</v>
      </c>
      <c r="B13" s="97">
        <v>150000</v>
      </c>
    </row>
    <row r="14" spans="1:2">
      <c r="A14" t="s">
        <v>234</v>
      </c>
      <c r="B14" s="97">
        <v>150000</v>
      </c>
    </row>
    <row r="15" spans="1:2">
      <c r="A15" t="s">
        <v>235</v>
      </c>
      <c r="B15" s="97">
        <v>150000</v>
      </c>
    </row>
    <row r="16" spans="1:2">
      <c r="A16" t="s">
        <v>236</v>
      </c>
      <c r="B16" s="97">
        <v>150000</v>
      </c>
    </row>
    <row r="17" spans="1:2">
      <c r="A17" t="s">
        <v>237</v>
      </c>
      <c r="B17" s="97">
        <v>150000</v>
      </c>
    </row>
    <row r="18" spans="1:2">
      <c r="A18" t="s">
        <v>238</v>
      </c>
      <c r="B18" s="97">
        <v>150000</v>
      </c>
    </row>
    <row r="19" spans="1:2">
      <c r="A19" t="s">
        <v>239</v>
      </c>
      <c r="B19" s="97">
        <v>150000</v>
      </c>
    </row>
    <row r="20" spans="1:2">
      <c r="A20" t="s">
        <v>240</v>
      </c>
      <c r="B20" s="97">
        <v>150000</v>
      </c>
    </row>
    <row r="21" spans="1:2">
      <c r="A21" t="s">
        <v>241</v>
      </c>
      <c r="B21" s="97">
        <v>150000</v>
      </c>
    </row>
    <row r="22" spans="1:2">
      <c r="A22" t="s">
        <v>242</v>
      </c>
      <c r="B22" s="97">
        <v>150000</v>
      </c>
    </row>
    <row r="23" spans="1:2">
      <c r="A23" t="s">
        <v>243</v>
      </c>
      <c r="B23" s="97">
        <v>150000</v>
      </c>
    </row>
    <row r="24" spans="1:2">
      <c r="B24" s="68">
        <f>SUM(B2:B23)</f>
        <v>3600000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workbookViewId="0">
      <selection activeCell="E3" sqref="E3"/>
    </sheetView>
  </sheetViews>
  <sheetFormatPr defaultRowHeight="14.5"/>
  <cols>
    <col min="1" max="1" width="20" bestFit="1" customWidth="1"/>
    <col min="2" max="2" width="11.54296875" bestFit="1" customWidth="1"/>
    <col min="3" max="5" width="10.54296875" bestFit="1" customWidth="1"/>
  </cols>
  <sheetData>
    <row r="1" spans="1:5">
      <c r="A1" t="s">
        <v>187</v>
      </c>
    </row>
    <row r="2" spans="1:5">
      <c r="C2" t="s">
        <v>264</v>
      </c>
      <c r="D2" t="s">
        <v>265</v>
      </c>
    </row>
    <row r="3" spans="1:5">
      <c r="A3" t="s">
        <v>263</v>
      </c>
      <c r="B3" s="97">
        <v>260</v>
      </c>
      <c r="C3" s="68">
        <f>B3*15000</f>
        <v>3900000</v>
      </c>
      <c r="D3" s="68">
        <f>B3*2*10000</f>
        <v>5200000</v>
      </c>
      <c r="E3" s="68">
        <f>C3+D3</f>
        <v>9100000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B13"/>
  <sheetViews>
    <sheetView topLeftCell="A4" zoomScale="160" zoomScaleNormal="160" workbookViewId="0">
      <selection activeCell="B14" sqref="B14"/>
    </sheetView>
  </sheetViews>
  <sheetFormatPr defaultRowHeight="14.5"/>
  <cols>
    <col min="2" max="2" width="13.81640625" bestFit="1" customWidth="1"/>
  </cols>
  <sheetData>
    <row r="4" spans="1:2">
      <c r="B4" t="s">
        <v>291</v>
      </c>
    </row>
    <row r="5" spans="1:2">
      <c r="A5" t="s">
        <v>275</v>
      </c>
      <c r="B5" s="97">
        <v>3574075</v>
      </c>
    </row>
    <row r="6" spans="1:2">
      <c r="A6" t="s">
        <v>277</v>
      </c>
      <c r="B6" s="97">
        <v>3522960</v>
      </c>
    </row>
    <row r="7" spans="1:2">
      <c r="A7" t="s">
        <v>278</v>
      </c>
      <c r="B7" s="97">
        <v>2253360</v>
      </c>
    </row>
    <row r="8" spans="1:2">
      <c r="A8" t="s">
        <v>276</v>
      </c>
      <c r="B8" s="97">
        <v>2419200</v>
      </c>
    </row>
    <row r="9" spans="1:2">
      <c r="A9" t="s">
        <v>292</v>
      </c>
      <c r="B9" s="97">
        <v>4094880</v>
      </c>
    </row>
    <row r="10" spans="1:2">
      <c r="A10" t="s">
        <v>279</v>
      </c>
      <c r="B10" s="97">
        <v>73274100</v>
      </c>
    </row>
    <row r="11" spans="1:2">
      <c r="B11" s="97">
        <v>89138575</v>
      </c>
    </row>
    <row r="12" spans="1:2">
      <c r="A12" s="112">
        <v>8.3000000000000004E-2</v>
      </c>
      <c r="B12" s="95">
        <f>B11*A12</f>
        <v>7398501.7250000006</v>
      </c>
    </row>
    <row r="13" spans="1:2">
      <c r="B13" s="95">
        <f>B11+B12</f>
        <v>96537076.724999994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zoomScaleNormal="100" workbookViewId="0">
      <selection activeCell="C11" sqref="C11:C12"/>
    </sheetView>
  </sheetViews>
  <sheetFormatPr defaultRowHeight="14.5"/>
  <cols>
    <col min="1" max="1" width="28.453125" customWidth="1"/>
    <col min="2" max="2" width="15.54296875" hidden="1" customWidth="1"/>
    <col min="3" max="3" width="25" bestFit="1" customWidth="1"/>
    <col min="4" max="4" width="18.26953125" bestFit="1" customWidth="1"/>
    <col min="5" max="5" width="11" bestFit="1" customWidth="1"/>
  </cols>
  <sheetData>
    <row r="1" spans="1:4" ht="15.5">
      <c r="A1" s="110" t="s">
        <v>198</v>
      </c>
      <c r="B1" s="110" t="s">
        <v>283</v>
      </c>
      <c r="C1" s="110" t="s">
        <v>282</v>
      </c>
      <c r="D1" s="110" t="s">
        <v>284</v>
      </c>
    </row>
    <row r="2" spans="1:4" ht="15.5">
      <c r="A2" s="107" t="s">
        <v>194</v>
      </c>
      <c r="B2" s="107">
        <v>1081433.7000000002</v>
      </c>
      <c r="C2" s="108">
        <v>1029936.857142857</v>
      </c>
      <c r="D2" s="109">
        <f>B2-C2</f>
        <v>51496.842857143143</v>
      </c>
    </row>
    <row r="3" spans="1:4" ht="15.5">
      <c r="A3" s="107" t="s">
        <v>195</v>
      </c>
      <c r="B3" s="107">
        <v>772600.95000000007</v>
      </c>
      <c r="C3" s="108">
        <v>735810.42857142864</v>
      </c>
      <c r="D3" s="109">
        <f t="shared" ref="D3:D5" si="0">B3-C3</f>
        <v>36790.521428571432</v>
      </c>
    </row>
    <row r="4" spans="1:4" ht="15.5">
      <c r="A4" s="107" t="s">
        <v>196</v>
      </c>
      <c r="B4" s="107">
        <v>617402.25</v>
      </c>
      <c r="C4" s="108">
        <v>588002.14285714284</v>
      </c>
      <c r="D4" s="109">
        <f t="shared" si="0"/>
        <v>29400.107142857159</v>
      </c>
    </row>
    <row r="5" spans="1:4" ht="15.5">
      <c r="A5" s="107" t="s">
        <v>197</v>
      </c>
      <c r="B5" s="107">
        <v>517495.5</v>
      </c>
      <c r="C5" s="108">
        <v>492853</v>
      </c>
      <c r="D5" s="109">
        <f t="shared" si="0"/>
        <v>24642.5</v>
      </c>
    </row>
    <row r="7" spans="1:4">
      <c r="A7" t="s">
        <v>285</v>
      </c>
    </row>
    <row r="8" spans="1:4">
      <c r="A8" t="s">
        <v>286</v>
      </c>
    </row>
    <row r="9" spans="1:4">
      <c r="A9" t="s">
        <v>287</v>
      </c>
      <c r="B9" s="97">
        <f>--893988.285714287</f>
        <v>893988.28571428696</v>
      </c>
    </row>
    <row r="10" spans="1:4">
      <c r="A10" t="s">
        <v>288</v>
      </c>
      <c r="B10" s="97">
        <v>653976.13034000399</v>
      </c>
    </row>
    <row r="11" spans="1:4">
      <c r="A11" s="1" t="s">
        <v>289</v>
      </c>
      <c r="B11" s="81">
        <f>SUM(B9:B10)</f>
        <v>1547964.416054291</v>
      </c>
      <c r="C11" s="97">
        <v>1547964.41605429</v>
      </c>
    </row>
    <row r="12" spans="1:4">
      <c r="A12" s="1" t="s">
        <v>290</v>
      </c>
      <c r="B12" s="81">
        <f>B11*12</f>
        <v>18575572.992651492</v>
      </c>
      <c r="C12" s="97">
        <v>18575573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</vt:i4>
      </vt:variant>
    </vt:vector>
  </HeadingPairs>
  <TitlesOfParts>
    <vt:vector size="12" baseType="lpstr">
      <vt:lpstr>BUDGET 2024-2025</vt:lpstr>
      <vt:lpstr>Execution of the budget</vt:lpstr>
      <vt:lpstr>INCOME DETAILS</vt:lpstr>
      <vt:lpstr>INCOME EXECUTION 2024-2025</vt:lpstr>
      <vt:lpstr>DETAILED Number of students</vt:lpstr>
      <vt:lpstr>Sheet1</vt:lpstr>
      <vt:lpstr>Communication fees</vt:lpstr>
      <vt:lpstr>Responsability allowance</vt:lpstr>
      <vt:lpstr>Sheet5</vt:lpstr>
      <vt:lpstr>Part-time staff cost</vt:lpstr>
      <vt:lpstr>STAFF COST DETAILS</vt:lpstr>
      <vt:lpstr>'INCOME DETAILS'!Print_Area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</dc:creator>
  <cp:lastModifiedBy>HP</cp:lastModifiedBy>
  <cp:lastPrinted>2025-10-10T10:32:28Z</cp:lastPrinted>
  <dcterms:created xsi:type="dcterms:W3CDTF">2024-09-22T18:35:45Z</dcterms:created>
  <dcterms:modified xsi:type="dcterms:W3CDTF">2026-03-29T06:38:50Z</dcterms:modified>
</cp:coreProperties>
</file>