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Administration and Finance\Finance\BUDGET AND ACTION PLAN\2025-2026\"/>
    </mc:Choice>
  </mc:AlternateContent>
  <bookViews>
    <workbookView xWindow="-110" yWindow="-110" windowWidth="19420" windowHeight="10300" activeTab="1"/>
  </bookViews>
  <sheets>
    <sheet name="BUDGET 2025-2026" sheetId="1" r:id="rId1"/>
    <sheet name="presentation to Mgr" sheetId="10" r:id="rId2"/>
    <sheet name="INCOME DETAILS" sheetId="2" r:id="rId3"/>
    <sheet name="Sheet2" sheetId="11" r:id="rId4"/>
    <sheet name="DETAILED Number of students" sheetId="3" r:id="rId5"/>
    <sheet name="Sheet1" sheetId="4" r:id="rId6"/>
    <sheet name="Communication fees" sheetId="6" r:id="rId7"/>
    <sheet name="Responsability allowance" sheetId="7" r:id="rId8"/>
    <sheet name="Sheet5" sheetId="8" r:id="rId9"/>
    <sheet name="Part-time staff cost" sheetId="9" r:id="rId10"/>
    <sheet name="STAFF COST DETAILS" sheetId="5" r:id="rId11"/>
  </sheets>
  <definedNames>
    <definedName name="_xlnm.Print_Area" localSheetId="2">'INCOME DETAILS'!$A$1:$AG$120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8" i="10" l="1"/>
  <c r="N40" i="10"/>
  <c r="N38" i="10"/>
  <c r="N36" i="10"/>
  <c r="E9" i="11" l="1"/>
  <c r="C9" i="11"/>
  <c r="B8" i="11"/>
  <c r="N6" i="10"/>
  <c r="O6" i="10" s="1"/>
  <c r="N52" i="10"/>
  <c r="M127" i="10"/>
  <c r="L127" i="10"/>
  <c r="K127" i="10"/>
  <c r="J127" i="10"/>
  <c r="I127" i="10"/>
  <c r="H127" i="10"/>
  <c r="G127" i="10"/>
  <c r="F127" i="10"/>
  <c r="E127" i="10"/>
  <c r="D127" i="10"/>
  <c r="C127" i="10"/>
  <c r="B126" i="10"/>
  <c r="B125" i="10"/>
  <c r="B124" i="10"/>
  <c r="B123" i="10"/>
  <c r="N122" i="10"/>
  <c r="N127" i="10" s="1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18" i="10"/>
  <c r="B117" i="10"/>
  <c r="M113" i="10"/>
  <c r="L113" i="10"/>
  <c r="K113" i="10"/>
  <c r="I113" i="10"/>
  <c r="H113" i="10"/>
  <c r="F113" i="10"/>
  <c r="D113" i="10"/>
  <c r="C113" i="10"/>
  <c r="N112" i="10"/>
  <c r="J112" i="10" s="1"/>
  <c r="J113" i="10" s="1"/>
  <c r="G111" i="10"/>
  <c r="G113" i="10" s="1"/>
  <c r="E111" i="10"/>
  <c r="E113" i="10" s="1"/>
  <c r="B109" i="10"/>
  <c r="B108" i="10"/>
  <c r="B107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1" i="10"/>
  <c r="B100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B96" i="10"/>
  <c r="B95" i="10"/>
  <c r="B94" i="10"/>
  <c r="B90" i="10"/>
  <c r="B89" i="10"/>
  <c r="M87" i="10"/>
  <c r="L87" i="10"/>
  <c r="K87" i="10"/>
  <c r="J87" i="10"/>
  <c r="I87" i="10"/>
  <c r="H87" i="10"/>
  <c r="G87" i="10"/>
  <c r="F87" i="10"/>
  <c r="E87" i="10"/>
  <c r="D87" i="10"/>
  <c r="C87" i="10"/>
  <c r="B86" i="10"/>
  <c r="B87" i="10" s="1"/>
  <c r="N85" i="10"/>
  <c r="N84" i="10"/>
  <c r="N83" i="10"/>
  <c r="N81" i="10"/>
  <c r="N75" i="10"/>
  <c r="N74" i="10"/>
  <c r="B73" i="10"/>
  <c r="B72" i="10"/>
  <c r="B71" i="10"/>
  <c r="B70" i="10"/>
  <c r="B69" i="10"/>
  <c r="B68" i="10"/>
  <c r="B67" i="10"/>
  <c r="B66" i="10"/>
  <c r="B65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N62" i="10"/>
  <c r="N60" i="10"/>
  <c r="B60" i="10" s="1"/>
  <c r="N59" i="10"/>
  <c r="B59" i="10" s="1"/>
  <c r="N58" i="10"/>
  <c r="N57" i="10"/>
  <c r="N56" i="10"/>
  <c r="N55" i="10"/>
  <c r="B55" i="10" s="1"/>
  <c r="N54" i="10"/>
  <c r="M53" i="10"/>
  <c r="M78" i="10" s="1"/>
  <c r="L53" i="10"/>
  <c r="K53" i="10"/>
  <c r="J53" i="10"/>
  <c r="I53" i="10"/>
  <c r="H53" i="10"/>
  <c r="G53" i="10"/>
  <c r="F53" i="10"/>
  <c r="E53" i="10"/>
  <c r="E78" i="10" s="1"/>
  <c r="D53" i="10"/>
  <c r="C53" i="10"/>
  <c r="B53" i="10"/>
  <c r="N51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M40" i="10"/>
  <c r="L40" i="10"/>
  <c r="K40" i="10"/>
  <c r="J40" i="10"/>
  <c r="I40" i="10"/>
  <c r="H40" i="10"/>
  <c r="G40" i="10"/>
  <c r="E40" i="10"/>
  <c r="D40" i="10"/>
  <c r="C40" i="10"/>
  <c r="F39" i="10"/>
  <c r="F40" i="10" s="1"/>
  <c r="B33" i="10"/>
  <c r="B32" i="10"/>
  <c r="B31" i="10"/>
  <c r="N30" i="10"/>
  <c r="J30" i="10" s="1"/>
  <c r="N29" i="10"/>
  <c r="B29" i="10" s="1"/>
  <c r="B28" i="10"/>
  <c r="N27" i="10"/>
  <c r="B27" i="10" s="1"/>
  <c r="M26" i="10"/>
  <c r="M34" i="10" s="1"/>
  <c r="L26" i="10"/>
  <c r="L34" i="10" s="1"/>
  <c r="J26" i="10"/>
  <c r="I26" i="10"/>
  <c r="I34" i="10" s="1"/>
  <c r="H26" i="10"/>
  <c r="H34" i="10" s="1"/>
  <c r="G26" i="10"/>
  <c r="G34" i="10" s="1"/>
  <c r="E26" i="10"/>
  <c r="E34" i="10" s="1"/>
  <c r="D26" i="10"/>
  <c r="D34" i="10" s="1"/>
  <c r="C26" i="10"/>
  <c r="C34" i="10" s="1"/>
  <c r="N25" i="10"/>
  <c r="F25" i="10" s="1"/>
  <c r="F26" i="10" s="1"/>
  <c r="F34" i="10" s="1"/>
  <c r="B24" i="10"/>
  <c r="B23" i="10"/>
  <c r="N21" i="10"/>
  <c r="K21" i="10" s="1"/>
  <c r="K26" i="10" s="1"/>
  <c r="K34" i="10" s="1"/>
  <c r="N20" i="10"/>
  <c r="B20" i="10" s="1"/>
  <c r="N19" i="10"/>
  <c r="B19" i="10" s="1"/>
  <c r="B18" i="10"/>
  <c r="N17" i="10"/>
  <c r="B17" i="10" s="1"/>
  <c r="B16" i="10"/>
  <c r="B15" i="10"/>
  <c r="N14" i="10"/>
  <c r="B14" i="10" s="1"/>
  <c r="N93" i="10"/>
  <c r="B140" i="1"/>
  <c r="C140" i="1" s="1"/>
  <c r="E140" i="2"/>
  <c r="N26" i="1" s="1"/>
  <c r="F26" i="1" s="1"/>
  <c r="G109" i="1"/>
  <c r="E109" i="1"/>
  <c r="J44" i="1"/>
  <c r="J45" i="1"/>
  <c r="J46" i="1"/>
  <c r="J47" i="1"/>
  <c r="J48" i="1"/>
  <c r="I44" i="1"/>
  <c r="I45" i="1"/>
  <c r="I46" i="1"/>
  <c r="I47" i="1"/>
  <c r="I48" i="1"/>
  <c r="H44" i="1"/>
  <c r="H45" i="1"/>
  <c r="H46" i="1"/>
  <c r="H47" i="1"/>
  <c r="H48" i="1"/>
  <c r="G44" i="1"/>
  <c r="G45" i="1"/>
  <c r="G46" i="1"/>
  <c r="G47" i="1"/>
  <c r="G48" i="1"/>
  <c r="F48" i="1"/>
  <c r="F47" i="1"/>
  <c r="F46" i="1"/>
  <c r="F45" i="1"/>
  <c r="F44" i="1"/>
  <c r="E44" i="1"/>
  <c r="E45" i="1"/>
  <c r="E46" i="1"/>
  <c r="E47" i="1"/>
  <c r="E48" i="1"/>
  <c r="D44" i="1"/>
  <c r="D45" i="1"/>
  <c r="D46" i="1"/>
  <c r="D47" i="1"/>
  <c r="D48" i="1"/>
  <c r="C44" i="1"/>
  <c r="C45" i="1"/>
  <c r="C46" i="1"/>
  <c r="C47" i="1"/>
  <c r="C48" i="1"/>
  <c r="B48" i="1"/>
  <c r="B47" i="1"/>
  <c r="B46" i="1"/>
  <c r="B45" i="1"/>
  <c r="B44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F41" i="10" l="1"/>
  <c r="D78" i="10"/>
  <c r="K49" i="10"/>
  <c r="L78" i="10"/>
  <c r="B36" i="10"/>
  <c r="B40" i="10" s="1"/>
  <c r="H49" i="10"/>
  <c r="J34" i="10"/>
  <c r="F78" i="10"/>
  <c r="D49" i="10"/>
  <c r="L49" i="10"/>
  <c r="L103" i="10" s="1"/>
  <c r="G78" i="10"/>
  <c r="B98" i="10"/>
  <c r="M49" i="10"/>
  <c r="M103" i="10" s="1"/>
  <c r="H78" i="10"/>
  <c r="H103" i="10" s="1"/>
  <c r="N98" i="10"/>
  <c r="F49" i="10"/>
  <c r="J49" i="10"/>
  <c r="B102" i="10"/>
  <c r="H41" i="10"/>
  <c r="C78" i="10"/>
  <c r="K78" i="10"/>
  <c r="B127" i="10"/>
  <c r="J41" i="10"/>
  <c r="K41" i="10"/>
  <c r="C41" i="10"/>
  <c r="I41" i="10"/>
  <c r="D41" i="10"/>
  <c r="I78" i="10"/>
  <c r="N110" i="10"/>
  <c r="N113" i="10" s="1"/>
  <c r="N63" i="10"/>
  <c r="N45" i="10"/>
  <c r="J78" i="10"/>
  <c r="I49" i="10"/>
  <c r="N44" i="10"/>
  <c r="G49" i="10"/>
  <c r="E49" i="10"/>
  <c r="E103" i="10" s="1"/>
  <c r="N47" i="10"/>
  <c r="N26" i="10"/>
  <c r="N34" i="10" s="1"/>
  <c r="N41" i="10" s="1"/>
  <c r="N87" i="10"/>
  <c r="B120" i="10"/>
  <c r="L41" i="10"/>
  <c r="E41" i="10"/>
  <c r="M41" i="10"/>
  <c r="B78" i="10"/>
  <c r="G41" i="10"/>
  <c r="B26" i="10"/>
  <c r="B34" i="10" s="1"/>
  <c r="N48" i="10"/>
  <c r="B49" i="10"/>
  <c r="C49" i="10"/>
  <c r="N53" i="10"/>
  <c r="N46" i="10"/>
  <c r="B23" i="1"/>
  <c r="N14" i="1"/>
  <c r="B14" i="1" s="1"/>
  <c r="P63" i="2"/>
  <c r="J89" i="2"/>
  <c r="G117" i="2"/>
  <c r="M117" i="2"/>
  <c r="G21" i="2"/>
  <c r="H21" i="2"/>
  <c r="I21" i="2"/>
  <c r="L21" i="2"/>
  <c r="O21" i="2"/>
  <c r="R21" i="2"/>
  <c r="S21" i="2"/>
  <c r="T21" i="2"/>
  <c r="U21" i="2"/>
  <c r="V21" i="2"/>
  <c r="X21" i="2"/>
  <c r="Y21" i="2"/>
  <c r="Z21" i="2"/>
  <c r="AA21" i="2"/>
  <c r="AB21" i="2"/>
  <c r="AE21" i="2"/>
  <c r="AF21" i="2"/>
  <c r="G96" i="2"/>
  <c r="H96" i="2"/>
  <c r="I96" i="2"/>
  <c r="K96" i="2"/>
  <c r="L96" i="2"/>
  <c r="N96" i="2"/>
  <c r="O96" i="2"/>
  <c r="R96" i="2"/>
  <c r="S96" i="2"/>
  <c r="T96" i="2"/>
  <c r="U96" i="2"/>
  <c r="V96" i="2"/>
  <c r="Y96" i="2"/>
  <c r="Z96" i="2"/>
  <c r="AA96" i="2"/>
  <c r="AE96" i="2"/>
  <c r="AF96" i="2"/>
  <c r="F29" i="2"/>
  <c r="F21" i="2"/>
  <c r="C90" i="2"/>
  <c r="C82" i="2"/>
  <c r="C81" i="2"/>
  <c r="D103" i="10" l="1"/>
  <c r="D104" i="10" s="1"/>
  <c r="D128" i="10" s="1"/>
  <c r="K103" i="10"/>
  <c r="K104" i="10" s="1"/>
  <c r="K128" i="10" s="1"/>
  <c r="F103" i="10"/>
  <c r="F104" i="10" s="1"/>
  <c r="F128" i="10" s="1"/>
  <c r="H104" i="10"/>
  <c r="H128" i="10" s="1"/>
  <c r="C103" i="10"/>
  <c r="C104" i="10" s="1"/>
  <c r="C128" i="10" s="1"/>
  <c r="B41" i="10"/>
  <c r="G103" i="10"/>
  <c r="G104" i="10" s="1"/>
  <c r="G128" i="10" s="1"/>
  <c r="I103" i="10"/>
  <c r="I104" i="10" s="1"/>
  <c r="I128" i="10" s="1"/>
  <c r="J103" i="10"/>
  <c r="J104" i="10" s="1"/>
  <c r="J128" i="10" s="1"/>
  <c r="B103" i="10"/>
  <c r="N49" i="10"/>
  <c r="B110" i="10"/>
  <c r="B113" i="10" s="1"/>
  <c r="E104" i="10"/>
  <c r="E128" i="10" s="1"/>
  <c r="L104" i="10"/>
  <c r="L128" i="10" s="1"/>
  <c r="M104" i="10"/>
  <c r="M128" i="10" s="1"/>
  <c r="F55" i="2"/>
  <c r="F13" i="2"/>
  <c r="D108" i="2"/>
  <c r="C108" i="2"/>
  <c r="C101" i="2"/>
  <c r="C99" i="2"/>
  <c r="B104" i="10" l="1"/>
  <c r="B128" i="10" s="1"/>
  <c r="D13" i="2"/>
  <c r="C13" i="2"/>
  <c r="F49" i="2" l="1"/>
  <c r="F50" i="2"/>
  <c r="F51" i="2"/>
  <c r="F48" i="2"/>
  <c r="F44" i="2"/>
  <c r="P58" i="2"/>
  <c r="F58" i="2"/>
  <c r="F59" i="2"/>
  <c r="P59" i="2"/>
  <c r="F60" i="2"/>
  <c r="P60" i="2"/>
  <c r="F61" i="2"/>
  <c r="P61" i="2"/>
  <c r="F62" i="2"/>
  <c r="P62" i="2"/>
  <c r="B84" i="1"/>
  <c r="B88" i="1"/>
  <c r="B87" i="1"/>
  <c r="B116" i="1"/>
  <c r="B115" i="1"/>
  <c r="B121" i="1"/>
  <c r="B122" i="1"/>
  <c r="B123" i="1"/>
  <c r="B124" i="1"/>
  <c r="B99" i="1"/>
  <c r="B98" i="1"/>
  <c r="B93" i="1"/>
  <c r="B94" i="1"/>
  <c r="B92" i="1"/>
  <c r="N74" i="1"/>
  <c r="N73" i="1"/>
  <c r="N75" i="1"/>
  <c r="B71" i="1"/>
  <c r="B72" i="1"/>
  <c r="B70" i="1"/>
  <c r="B65" i="1"/>
  <c r="B66" i="1"/>
  <c r="B67" i="1"/>
  <c r="B68" i="1"/>
  <c r="B64" i="1"/>
  <c r="B33" i="1"/>
  <c r="B34" i="1"/>
  <c r="B32" i="1"/>
  <c r="C27" i="1"/>
  <c r="D27" i="1"/>
  <c r="E27" i="1"/>
  <c r="G27" i="1"/>
  <c r="H27" i="1"/>
  <c r="I27" i="1"/>
  <c r="J27" i="1"/>
  <c r="L27" i="1"/>
  <c r="M27" i="1"/>
  <c r="B13" i="9"/>
  <c r="B12" i="9"/>
  <c r="D131" i="2" l="1"/>
  <c r="E132" i="2"/>
  <c r="U13" i="2"/>
  <c r="E131" i="2"/>
  <c r="P16" i="2"/>
  <c r="P17" i="2"/>
  <c r="P18" i="2"/>
  <c r="P19" i="2"/>
  <c r="P15" i="2"/>
  <c r="P8" i="2"/>
  <c r="G20" i="2"/>
  <c r="H20" i="2"/>
  <c r="I20" i="2"/>
  <c r="J20" i="2"/>
  <c r="K20" i="2"/>
  <c r="L20" i="2"/>
  <c r="M20" i="2"/>
  <c r="N20" i="2"/>
  <c r="O20" i="2"/>
  <c r="R20" i="2"/>
  <c r="S20" i="2"/>
  <c r="T20" i="2"/>
  <c r="U20" i="2"/>
  <c r="V20" i="2"/>
  <c r="Y20" i="2"/>
  <c r="Z20" i="2"/>
  <c r="AA20" i="2"/>
  <c r="AE20" i="2"/>
  <c r="AF20" i="2"/>
  <c r="F16" i="2"/>
  <c r="X16" i="2" s="1"/>
  <c r="F17" i="2"/>
  <c r="Q17" i="2" s="1"/>
  <c r="W17" i="2" s="1"/>
  <c r="F18" i="2"/>
  <c r="F19" i="2"/>
  <c r="F15" i="2"/>
  <c r="D20" i="2"/>
  <c r="E20" i="2"/>
  <c r="C20" i="2"/>
  <c r="N48" i="1"/>
  <c r="B49" i="1"/>
  <c r="N47" i="1"/>
  <c r="D49" i="1"/>
  <c r="M120" i="2"/>
  <c r="A130" i="1" l="1"/>
  <c r="A134" i="1"/>
  <c r="C134" i="1" s="1"/>
  <c r="A133" i="1"/>
  <c r="C133" i="1" s="1"/>
  <c r="A132" i="1"/>
  <c r="C132" i="1" s="1"/>
  <c r="A131" i="1"/>
  <c r="C131" i="1" s="1"/>
  <c r="Q19" i="2"/>
  <c r="W19" i="2" s="1"/>
  <c r="AC19" i="2" s="1"/>
  <c r="Q15" i="2"/>
  <c r="W15" i="2" s="1"/>
  <c r="AC15" i="2" s="1"/>
  <c r="X19" i="2"/>
  <c r="Q16" i="2"/>
  <c r="W16" i="2" s="1"/>
  <c r="AD16" i="2" s="1"/>
  <c r="X15" i="2"/>
  <c r="AB15" i="2" s="1"/>
  <c r="F131" i="2"/>
  <c r="G131" i="2" s="1"/>
  <c r="Q18" i="2"/>
  <c r="W18" i="2" s="1"/>
  <c r="AC18" i="2" s="1"/>
  <c r="AC17" i="2"/>
  <c r="AD17" i="2"/>
  <c r="X18" i="2"/>
  <c r="X17" i="2"/>
  <c r="F20" i="2"/>
  <c r="C49" i="1"/>
  <c r="P20" i="2"/>
  <c r="B9" i="5"/>
  <c r="B11" i="5" s="1"/>
  <c r="B12" i="5" s="1"/>
  <c r="D3" i="8"/>
  <c r="C3" i="8"/>
  <c r="B62" i="1"/>
  <c r="B2" i="6"/>
  <c r="D3" i="5"/>
  <c r="D4" i="5"/>
  <c r="D5" i="5"/>
  <c r="D2" i="5"/>
  <c r="N38" i="1"/>
  <c r="K21" i="3"/>
  <c r="K20" i="3"/>
  <c r="C55" i="2"/>
  <c r="D55" i="2"/>
  <c r="E55" i="2"/>
  <c r="N40" i="1" l="1"/>
  <c r="B38" i="1"/>
  <c r="A135" i="1"/>
  <c r="C130" i="1"/>
  <c r="AD19" i="2"/>
  <c r="AG19" i="2" s="1"/>
  <c r="AD15" i="2"/>
  <c r="AG15" i="2" s="1"/>
  <c r="AC16" i="2"/>
  <c r="AG16" i="2" s="1"/>
  <c r="Q20" i="2"/>
  <c r="W20" i="2"/>
  <c r="AD18" i="2"/>
  <c r="AG18" i="2" s="1"/>
  <c r="AG17" i="2"/>
  <c r="X20" i="2"/>
  <c r="AB20" i="2"/>
  <c r="E49" i="1"/>
  <c r="E143" i="2"/>
  <c r="E142" i="2"/>
  <c r="E144" i="2" s="1"/>
  <c r="C62" i="1"/>
  <c r="D62" i="1"/>
  <c r="E62" i="1"/>
  <c r="F62" i="1"/>
  <c r="G62" i="1"/>
  <c r="H62" i="1"/>
  <c r="I62" i="1"/>
  <c r="J62" i="1"/>
  <c r="K62" i="1"/>
  <c r="L62" i="1"/>
  <c r="M62" i="1"/>
  <c r="C52" i="1"/>
  <c r="D52" i="1"/>
  <c r="E52" i="1"/>
  <c r="F52" i="1"/>
  <c r="G52" i="1"/>
  <c r="H52" i="1"/>
  <c r="I52" i="1"/>
  <c r="J52" i="1"/>
  <c r="K52" i="1"/>
  <c r="L52" i="1"/>
  <c r="M52" i="1"/>
  <c r="B52" i="1"/>
  <c r="AC20" i="2" l="1"/>
  <c r="AD20" i="2"/>
  <c r="AG20" i="2"/>
  <c r="F49" i="1"/>
  <c r="N52" i="1"/>
  <c r="N55" i="1"/>
  <c r="C125" i="1"/>
  <c r="D125" i="1"/>
  <c r="E125" i="1"/>
  <c r="F125" i="1"/>
  <c r="G125" i="1"/>
  <c r="H125" i="1"/>
  <c r="I125" i="1"/>
  <c r="J125" i="1"/>
  <c r="K125" i="1"/>
  <c r="L125" i="1"/>
  <c r="M125" i="1"/>
  <c r="B125" i="1"/>
  <c r="G49" i="1" l="1"/>
  <c r="N120" i="1"/>
  <c r="N125" i="1" s="1"/>
  <c r="H49" i="1" l="1"/>
  <c r="B106" i="1"/>
  <c r="B107" i="1"/>
  <c r="F111" i="1"/>
  <c r="B105" i="1"/>
  <c r="K118" i="1"/>
  <c r="L118" i="1"/>
  <c r="M118" i="1"/>
  <c r="C111" i="1"/>
  <c r="D111" i="1"/>
  <c r="E111" i="1"/>
  <c r="G111" i="1"/>
  <c r="H111" i="1"/>
  <c r="I111" i="1"/>
  <c r="K111" i="1"/>
  <c r="L111" i="1"/>
  <c r="M111" i="1"/>
  <c r="I49" i="1" l="1"/>
  <c r="C40" i="1"/>
  <c r="D40" i="1"/>
  <c r="E40" i="1"/>
  <c r="G40" i="1"/>
  <c r="H40" i="1"/>
  <c r="I40" i="1"/>
  <c r="J40" i="1"/>
  <c r="K40" i="1"/>
  <c r="L40" i="1"/>
  <c r="M40" i="1"/>
  <c r="F39" i="1"/>
  <c r="F40" i="1" s="1"/>
  <c r="B40" i="1"/>
  <c r="C35" i="1"/>
  <c r="D35" i="1"/>
  <c r="E35" i="1"/>
  <c r="G35" i="1"/>
  <c r="H35" i="1"/>
  <c r="I35" i="1"/>
  <c r="L35" i="1"/>
  <c r="M35" i="1"/>
  <c r="J49" i="1" l="1"/>
  <c r="E41" i="1"/>
  <c r="I41" i="1"/>
  <c r="D41" i="1"/>
  <c r="C41" i="1"/>
  <c r="M41" i="1"/>
  <c r="H41" i="1"/>
  <c r="G41" i="1"/>
  <c r="L41" i="1"/>
  <c r="K49" i="1" l="1"/>
  <c r="E3" i="8"/>
  <c r="N110" i="1"/>
  <c r="J110" i="1" s="1"/>
  <c r="J111" i="1" s="1"/>
  <c r="N31" i="1"/>
  <c r="H43" i="3"/>
  <c r="I43" i="3"/>
  <c r="N83" i="1"/>
  <c r="N82" i="1"/>
  <c r="B24" i="7"/>
  <c r="E139" i="2"/>
  <c r="E138" i="2"/>
  <c r="E137" i="2"/>
  <c r="B47" i="6"/>
  <c r="J31" i="1" l="1"/>
  <c r="J35" i="1" s="1"/>
  <c r="J41" i="1" s="1"/>
  <c r="L49" i="1"/>
  <c r="F132" i="2"/>
  <c r="G132" i="2" s="1"/>
  <c r="D130" i="2"/>
  <c r="C130" i="2"/>
  <c r="E129" i="2"/>
  <c r="F129" i="2" s="1"/>
  <c r="G129" i="2" s="1"/>
  <c r="F128" i="2"/>
  <c r="F130" i="2" l="1"/>
  <c r="F27" i="1"/>
  <c r="F35" i="1" s="1"/>
  <c r="F41" i="1" s="1"/>
  <c r="M49" i="1"/>
  <c r="N45" i="1"/>
  <c r="G128" i="2"/>
  <c r="G133" i="2" s="1"/>
  <c r="F133" i="2" l="1"/>
  <c r="N25" i="1" s="1"/>
  <c r="N46" i="1"/>
  <c r="N44" i="1"/>
  <c r="N49" i="1" l="1"/>
  <c r="B25" i="1"/>
  <c r="N108" i="1"/>
  <c r="B108" i="1" l="1"/>
  <c r="N118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B100" i="1"/>
  <c r="C96" i="1" l="1"/>
  <c r="D96" i="1"/>
  <c r="E96" i="1"/>
  <c r="F96" i="1"/>
  <c r="G96" i="1"/>
  <c r="H96" i="1"/>
  <c r="I96" i="1"/>
  <c r="J96" i="1"/>
  <c r="K96" i="1"/>
  <c r="L96" i="1"/>
  <c r="M96" i="1"/>
  <c r="B96" i="1"/>
  <c r="N95" i="1"/>
  <c r="C85" i="1"/>
  <c r="D85" i="1"/>
  <c r="E85" i="1"/>
  <c r="F85" i="1"/>
  <c r="G85" i="1"/>
  <c r="H85" i="1"/>
  <c r="I85" i="1"/>
  <c r="J85" i="1"/>
  <c r="K85" i="1"/>
  <c r="L85" i="1"/>
  <c r="M85" i="1"/>
  <c r="B85" i="1"/>
  <c r="N81" i="1"/>
  <c r="N79" i="1"/>
  <c r="B69" i="1"/>
  <c r="K76" i="1"/>
  <c r="L76" i="1"/>
  <c r="M76" i="1"/>
  <c r="N59" i="1"/>
  <c r="B59" i="1" s="1"/>
  <c r="N58" i="1"/>
  <c r="B58" i="1" s="1"/>
  <c r="N51" i="1"/>
  <c r="N61" i="1"/>
  <c r="N57" i="1"/>
  <c r="N56" i="1"/>
  <c r="N54" i="1"/>
  <c r="B54" i="1" s="1"/>
  <c r="N53" i="1"/>
  <c r="N85" i="1" l="1"/>
  <c r="K101" i="1"/>
  <c r="M101" i="1"/>
  <c r="M102" i="1" s="1"/>
  <c r="M126" i="1" s="1"/>
  <c r="L101" i="1"/>
  <c r="L102" i="1" s="1"/>
  <c r="L126" i="1" s="1"/>
  <c r="N62" i="1"/>
  <c r="AD115" i="2" l="1"/>
  <c r="AD100" i="2"/>
  <c r="AB115" i="2"/>
  <c r="AG110" i="2"/>
  <c r="AD91" i="2"/>
  <c r="AD83" i="2"/>
  <c r="AD75" i="2" l="1"/>
  <c r="AD67" i="2" l="1"/>
  <c r="AD50" i="2"/>
  <c r="AB49" i="2"/>
  <c r="AB50" i="2"/>
  <c r="AB51" i="2"/>
  <c r="AB52" i="2"/>
  <c r="AB53" i="2"/>
  <c r="AB48" i="2"/>
  <c r="AD42" i="2"/>
  <c r="AB45" i="2"/>
  <c r="AB41" i="2"/>
  <c r="AB42" i="2"/>
  <c r="AB43" i="2"/>
  <c r="AB44" i="2"/>
  <c r="AB40" i="2"/>
  <c r="AG9" i="2"/>
  <c r="AC12" i="2"/>
  <c r="Y117" i="2" l="1"/>
  <c r="Z117" i="2"/>
  <c r="AA117" i="2"/>
  <c r="Y112" i="2"/>
  <c r="Z112" i="2"/>
  <c r="AA112" i="2"/>
  <c r="Y104" i="2"/>
  <c r="Z104" i="2"/>
  <c r="AA104" i="2"/>
  <c r="Y79" i="2"/>
  <c r="Z79" i="2"/>
  <c r="AA79" i="2"/>
  <c r="Y95" i="2"/>
  <c r="Z95" i="2"/>
  <c r="AA95" i="2"/>
  <c r="Y87" i="2"/>
  <c r="Z87" i="2"/>
  <c r="AA87" i="2"/>
  <c r="Y71" i="2"/>
  <c r="Z71" i="2"/>
  <c r="AA71" i="2"/>
  <c r="Y54" i="2"/>
  <c r="Z54" i="2"/>
  <c r="AA54" i="2"/>
  <c r="AA46" i="2"/>
  <c r="Z46" i="2"/>
  <c r="Y38" i="2"/>
  <c r="Z38" i="2"/>
  <c r="AA38" i="2"/>
  <c r="Y29" i="2"/>
  <c r="Z29" i="2"/>
  <c r="AA29" i="2"/>
  <c r="Y13" i="2"/>
  <c r="Z13" i="2"/>
  <c r="AA13" i="2"/>
  <c r="Y63" i="2"/>
  <c r="Z63" i="2"/>
  <c r="AA63" i="2"/>
  <c r="Z55" i="2" l="1"/>
  <c r="AA55" i="2"/>
  <c r="X22" i="2"/>
  <c r="X31" i="2"/>
  <c r="X47" i="2"/>
  <c r="X72" i="2"/>
  <c r="X97" i="2"/>
  <c r="X105" i="2"/>
  <c r="X116" i="2"/>
  <c r="X118" i="2"/>
  <c r="X119" i="2"/>
  <c r="W116" i="2"/>
  <c r="X120" i="2" l="1"/>
  <c r="S120" i="2"/>
  <c r="T120" i="2"/>
  <c r="U120" i="2"/>
  <c r="V120" i="2"/>
  <c r="S117" i="2"/>
  <c r="T117" i="2"/>
  <c r="U117" i="2"/>
  <c r="V117" i="2"/>
  <c r="AB117" i="2"/>
  <c r="N17" i="1" s="1"/>
  <c r="B17" i="1" s="1"/>
  <c r="S112" i="2"/>
  <c r="T112" i="2"/>
  <c r="U112" i="2"/>
  <c r="V112" i="2"/>
  <c r="S104" i="2"/>
  <c r="T104" i="2"/>
  <c r="U104" i="2"/>
  <c r="V104" i="2"/>
  <c r="S95" i="2"/>
  <c r="T95" i="2"/>
  <c r="U95" i="2"/>
  <c r="V95" i="2"/>
  <c r="S87" i="2"/>
  <c r="T87" i="2"/>
  <c r="U87" i="2"/>
  <c r="V87" i="2"/>
  <c r="S79" i="2"/>
  <c r="T79" i="2"/>
  <c r="U79" i="2"/>
  <c r="V79" i="2"/>
  <c r="S71" i="2"/>
  <c r="T71" i="2"/>
  <c r="U71" i="2"/>
  <c r="V71" i="2"/>
  <c r="S54" i="2"/>
  <c r="T54" i="2"/>
  <c r="U54" i="2"/>
  <c r="V54" i="2"/>
  <c r="AB54" i="2"/>
  <c r="S46" i="2"/>
  <c r="T46" i="2"/>
  <c r="U46" i="2"/>
  <c r="V46" i="2"/>
  <c r="AB46" i="2"/>
  <c r="S38" i="2"/>
  <c r="T38" i="2"/>
  <c r="U38" i="2"/>
  <c r="V38" i="2"/>
  <c r="S29" i="2"/>
  <c r="T29" i="2"/>
  <c r="U29" i="2"/>
  <c r="V29" i="2"/>
  <c r="S13" i="2"/>
  <c r="V13" i="2"/>
  <c r="S63" i="2"/>
  <c r="T63" i="2"/>
  <c r="U63" i="2"/>
  <c r="V63" i="2"/>
  <c r="T8" i="2"/>
  <c r="T13" i="2" s="1"/>
  <c r="V55" i="2" l="1"/>
  <c r="T55" i="2"/>
  <c r="S55" i="2"/>
  <c r="U55" i="2"/>
  <c r="S121" i="2" l="1"/>
  <c r="S123" i="2" s="1"/>
  <c r="S124" i="2" s="1"/>
  <c r="N24" i="1" s="1"/>
  <c r="K24" i="1" s="1"/>
  <c r="U121" i="2"/>
  <c r="V121" i="2"/>
  <c r="T121" i="2"/>
  <c r="P119" i="2"/>
  <c r="P120" i="2" s="1"/>
  <c r="P115" i="2"/>
  <c r="P117" i="2" s="1"/>
  <c r="P107" i="2"/>
  <c r="P108" i="2"/>
  <c r="P109" i="2"/>
  <c r="P110" i="2"/>
  <c r="P111" i="2"/>
  <c r="P106" i="2"/>
  <c r="G120" i="2"/>
  <c r="H120" i="2"/>
  <c r="I120" i="2"/>
  <c r="J120" i="2"/>
  <c r="K120" i="2"/>
  <c r="L120" i="2"/>
  <c r="N120" i="2"/>
  <c r="O120" i="2"/>
  <c r="R120" i="2"/>
  <c r="AE120" i="2"/>
  <c r="AF120" i="2"/>
  <c r="AG120" i="2"/>
  <c r="F120" i="2"/>
  <c r="H117" i="2"/>
  <c r="I117" i="2"/>
  <c r="J117" i="2"/>
  <c r="K117" i="2"/>
  <c r="L117" i="2"/>
  <c r="N117" i="2"/>
  <c r="O117" i="2"/>
  <c r="R117" i="2"/>
  <c r="AD117" i="2"/>
  <c r="AF117" i="2"/>
  <c r="G112" i="2"/>
  <c r="H112" i="2"/>
  <c r="I112" i="2"/>
  <c r="J112" i="2"/>
  <c r="K112" i="2"/>
  <c r="L112" i="2"/>
  <c r="M112" i="2"/>
  <c r="N112" i="2"/>
  <c r="O112" i="2"/>
  <c r="R112" i="2"/>
  <c r="G104" i="2"/>
  <c r="H104" i="2"/>
  <c r="I104" i="2"/>
  <c r="J104" i="2"/>
  <c r="K104" i="2"/>
  <c r="L104" i="2"/>
  <c r="M104" i="2"/>
  <c r="N104" i="2"/>
  <c r="O104" i="2"/>
  <c r="R104" i="2"/>
  <c r="G95" i="2"/>
  <c r="H95" i="2"/>
  <c r="I95" i="2"/>
  <c r="J95" i="2"/>
  <c r="J96" i="2" s="1"/>
  <c r="K95" i="2"/>
  <c r="L95" i="2"/>
  <c r="M95" i="2"/>
  <c r="N95" i="2"/>
  <c r="O95" i="2"/>
  <c r="R95" i="2"/>
  <c r="AD95" i="2"/>
  <c r="G87" i="2"/>
  <c r="H87" i="2"/>
  <c r="I87" i="2"/>
  <c r="J87" i="2"/>
  <c r="K87" i="2"/>
  <c r="L87" i="2"/>
  <c r="M87" i="2"/>
  <c r="N87" i="2"/>
  <c r="O87" i="2"/>
  <c r="R87" i="2"/>
  <c r="G79" i="2"/>
  <c r="H79" i="2"/>
  <c r="I79" i="2"/>
  <c r="J79" i="2"/>
  <c r="K79" i="2"/>
  <c r="L79" i="2"/>
  <c r="M79" i="2"/>
  <c r="N79" i="2"/>
  <c r="O79" i="2"/>
  <c r="R79" i="2"/>
  <c r="G71" i="2"/>
  <c r="H71" i="2"/>
  <c r="I71" i="2"/>
  <c r="J71" i="2"/>
  <c r="K71" i="2"/>
  <c r="L71" i="2"/>
  <c r="M71" i="2"/>
  <c r="N71" i="2"/>
  <c r="O71" i="2"/>
  <c r="R71" i="2"/>
  <c r="G54" i="2"/>
  <c r="H54" i="2"/>
  <c r="I54" i="2"/>
  <c r="J54" i="2"/>
  <c r="K54" i="2"/>
  <c r="L54" i="2"/>
  <c r="M54" i="2"/>
  <c r="N54" i="2"/>
  <c r="O54" i="2"/>
  <c r="R54" i="2"/>
  <c r="G46" i="2"/>
  <c r="H46" i="2"/>
  <c r="I46" i="2"/>
  <c r="J46" i="2"/>
  <c r="K46" i="2"/>
  <c r="L46" i="2"/>
  <c r="M46" i="2"/>
  <c r="N46" i="2"/>
  <c r="O46" i="2"/>
  <c r="R46" i="2"/>
  <c r="G38" i="2"/>
  <c r="H38" i="2"/>
  <c r="I38" i="2"/>
  <c r="J38" i="2"/>
  <c r="K38" i="2"/>
  <c r="L38" i="2"/>
  <c r="M38" i="2"/>
  <c r="N38" i="2"/>
  <c r="O38" i="2"/>
  <c r="R38" i="2"/>
  <c r="G29" i="2"/>
  <c r="H29" i="2"/>
  <c r="I29" i="2"/>
  <c r="J29" i="2"/>
  <c r="K29" i="2"/>
  <c r="L29" i="2"/>
  <c r="M29" i="2"/>
  <c r="N29" i="2"/>
  <c r="O29" i="2"/>
  <c r="R29" i="2"/>
  <c r="G13" i="2"/>
  <c r="H13" i="2"/>
  <c r="I13" i="2"/>
  <c r="J13" i="2"/>
  <c r="J21" i="2" s="1"/>
  <c r="K13" i="2"/>
  <c r="K21" i="2" s="1"/>
  <c r="L13" i="2"/>
  <c r="M13" i="2"/>
  <c r="M21" i="2" s="1"/>
  <c r="N13" i="2"/>
  <c r="N21" i="2" s="1"/>
  <c r="O13" i="2"/>
  <c r="R13" i="2"/>
  <c r="G63" i="2"/>
  <c r="H63" i="2"/>
  <c r="I63" i="2"/>
  <c r="J63" i="2"/>
  <c r="K63" i="2"/>
  <c r="L63" i="2"/>
  <c r="M63" i="2"/>
  <c r="N63" i="2"/>
  <c r="O63" i="2"/>
  <c r="R63" i="2"/>
  <c r="AF63" i="2"/>
  <c r="X62" i="2"/>
  <c r="P9" i="2"/>
  <c r="P10" i="2"/>
  <c r="P11" i="2"/>
  <c r="P12" i="2"/>
  <c r="P22" i="2"/>
  <c r="P23" i="2"/>
  <c r="P24" i="2"/>
  <c r="P25" i="2"/>
  <c r="P26" i="2"/>
  <c r="P27" i="2"/>
  <c r="P28" i="2"/>
  <c r="P31" i="2"/>
  <c r="Q31" i="2" s="1"/>
  <c r="P32" i="2"/>
  <c r="P33" i="2"/>
  <c r="P34" i="2"/>
  <c r="P35" i="2"/>
  <c r="P36" i="2"/>
  <c r="P37" i="2"/>
  <c r="P40" i="2"/>
  <c r="P41" i="2"/>
  <c r="P42" i="2"/>
  <c r="P43" i="2"/>
  <c r="P44" i="2"/>
  <c r="P45" i="2"/>
  <c r="P48" i="2"/>
  <c r="P49" i="2"/>
  <c r="P50" i="2"/>
  <c r="P51" i="2"/>
  <c r="P52" i="2"/>
  <c r="P53" i="2"/>
  <c r="P64" i="2"/>
  <c r="Q64" i="2" s="1"/>
  <c r="P65" i="2"/>
  <c r="P66" i="2"/>
  <c r="P67" i="2"/>
  <c r="P68" i="2"/>
  <c r="P69" i="2"/>
  <c r="P70" i="2"/>
  <c r="P73" i="2"/>
  <c r="P74" i="2"/>
  <c r="P75" i="2"/>
  <c r="P76" i="2"/>
  <c r="P77" i="2"/>
  <c r="P78" i="2"/>
  <c r="P81" i="2"/>
  <c r="P82" i="2"/>
  <c r="P83" i="2"/>
  <c r="P84" i="2"/>
  <c r="P85" i="2"/>
  <c r="P86" i="2"/>
  <c r="P89" i="2"/>
  <c r="P90" i="2"/>
  <c r="P91" i="2"/>
  <c r="P92" i="2"/>
  <c r="P93" i="2"/>
  <c r="P94" i="2"/>
  <c r="P98" i="2"/>
  <c r="P99" i="2"/>
  <c r="P100" i="2"/>
  <c r="P101" i="2"/>
  <c r="P102" i="2"/>
  <c r="P103" i="2"/>
  <c r="X59" i="2"/>
  <c r="X60" i="2"/>
  <c r="X61" i="2"/>
  <c r="F9" i="2"/>
  <c r="X9" i="2" s="1"/>
  <c r="F10" i="2"/>
  <c r="X10" i="2" s="1"/>
  <c r="AB10" i="2" s="1"/>
  <c r="F11" i="2"/>
  <c r="F12" i="2"/>
  <c r="X12" i="2" s="1"/>
  <c r="AB12" i="2" s="1"/>
  <c r="F23" i="2"/>
  <c r="X23" i="2" s="1"/>
  <c r="AB23" i="2" s="1"/>
  <c r="F24" i="2"/>
  <c r="X24" i="2" s="1"/>
  <c r="AB24" i="2" s="1"/>
  <c r="F25" i="2"/>
  <c r="X25" i="2" s="1"/>
  <c r="AB25" i="2" s="1"/>
  <c r="F26" i="2"/>
  <c r="X26" i="2" s="1"/>
  <c r="AB26" i="2" s="1"/>
  <c r="F27" i="2"/>
  <c r="X27" i="2" s="1"/>
  <c r="AB27" i="2" s="1"/>
  <c r="F28" i="2"/>
  <c r="X28" i="2" s="1"/>
  <c r="AB28" i="2" s="1"/>
  <c r="F32" i="2"/>
  <c r="F33" i="2"/>
  <c r="F34" i="2"/>
  <c r="F35" i="2"/>
  <c r="F36" i="2"/>
  <c r="F37" i="2"/>
  <c r="F40" i="2"/>
  <c r="F41" i="2"/>
  <c r="F42" i="2"/>
  <c r="F43" i="2"/>
  <c r="F45" i="2"/>
  <c r="X48" i="2"/>
  <c r="F53" i="2"/>
  <c r="F54" i="2" s="1"/>
  <c r="F65" i="2"/>
  <c r="X65" i="2" s="1"/>
  <c r="F66" i="2"/>
  <c r="X66" i="2" s="1"/>
  <c r="AB66" i="2" s="1"/>
  <c r="F67" i="2"/>
  <c r="X67" i="2" s="1"/>
  <c r="AB67" i="2" s="1"/>
  <c r="F68" i="2"/>
  <c r="X68" i="2" s="1"/>
  <c r="AB68" i="2" s="1"/>
  <c r="F69" i="2"/>
  <c r="X69" i="2" s="1"/>
  <c r="AB69" i="2" s="1"/>
  <c r="F70" i="2"/>
  <c r="X70" i="2" s="1"/>
  <c r="AB70" i="2" s="1"/>
  <c r="F73" i="2"/>
  <c r="X73" i="2" s="1"/>
  <c r="AB73" i="2" s="1"/>
  <c r="F74" i="2"/>
  <c r="X74" i="2" s="1"/>
  <c r="AB74" i="2" s="1"/>
  <c r="F75" i="2"/>
  <c r="X75" i="2" s="1"/>
  <c r="AB75" i="2" s="1"/>
  <c r="F76" i="2"/>
  <c r="X76" i="2" s="1"/>
  <c r="AB76" i="2" s="1"/>
  <c r="F77" i="2"/>
  <c r="X77" i="2" s="1"/>
  <c r="AB77" i="2" s="1"/>
  <c r="F78" i="2"/>
  <c r="X78" i="2" s="1"/>
  <c r="F82" i="2"/>
  <c r="X82" i="2" s="1"/>
  <c r="AB82" i="2" s="1"/>
  <c r="F83" i="2"/>
  <c r="X83" i="2" s="1"/>
  <c r="AB83" i="2" s="1"/>
  <c r="F84" i="2"/>
  <c r="X84" i="2" s="1"/>
  <c r="AB84" i="2" s="1"/>
  <c r="F85" i="2"/>
  <c r="X85" i="2" s="1"/>
  <c r="AB85" i="2" s="1"/>
  <c r="F86" i="2"/>
  <c r="X86" i="2" s="1"/>
  <c r="F90" i="2"/>
  <c r="X90" i="2" s="1"/>
  <c r="AB90" i="2" s="1"/>
  <c r="F91" i="2"/>
  <c r="X91" i="2" s="1"/>
  <c r="AB91" i="2" s="1"/>
  <c r="F92" i="2"/>
  <c r="F93" i="2"/>
  <c r="X93" i="2" s="1"/>
  <c r="AB93" i="2" s="1"/>
  <c r="F94" i="2"/>
  <c r="X94" i="2" s="1"/>
  <c r="AB94" i="2" s="1"/>
  <c r="F98" i="2"/>
  <c r="X98" i="2" s="1"/>
  <c r="F99" i="2"/>
  <c r="F100" i="2"/>
  <c r="X100" i="2" s="1"/>
  <c r="AB100" i="2" s="1"/>
  <c r="F101" i="2"/>
  <c r="X101" i="2" s="1"/>
  <c r="AB101" i="2" s="1"/>
  <c r="F102" i="2"/>
  <c r="X102" i="2" s="1"/>
  <c r="AB102" i="2" s="1"/>
  <c r="F103" i="2"/>
  <c r="F106" i="2"/>
  <c r="F107" i="2"/>
  <c r="X107" i="2" s="1"/>
  <c r="AB107" i="2" s="1"/>
  <c r="F108" i="2"/>
  <c r="X108" i="2" s="1"/>
  <c r="AB108" i="2" s="1"/>
  <c r="F109" i="2"/>
  <c r="X109" i="2" s="1"/>
  <c r="AB109" i="2" s="1"/>
  <c r="F110" i="2"/>
  <c r="X110" i="2" s="1"/>
  <c r="F111" i="2"/>
  <c r="X111" i="2" s="1"/>
  <c r="AB111" i="2" s="1"/>
  <c r="AG111" i="2" s="1"/>
  <c r="F115" i="2"/>
  <c r="X58" i="2"/>
  <c r="AB58" i="2" s="1"/>
  <c r="D121" i="2"/>
  <c r="D112" i="2"/>
  <c r="C112" i="2"/>
  <c r="D71" i="2"/>
  <c r="C71" i="2"/>
  <c r="M96" i="2" l="1"/>
  <c r="X40" i="2"/>
  <c r="F46" i="2"/>
  <c r="AB65" i="2"/>
  <c r="X71" i="2"/>
  <c r="AB98" i="2"/>
  <c r="X11" i="2"/>
  <c r="AB11" i="2" s="1"/>
  <c r="X106" i="2"/>
  <c r="AB106" i="2" s="1"/>
  <c r="AB112" i="2" s="1"/>
  <c r="N15" i="1" s="1"/>
  <c r="B15" i="1" s="1"/>
  <c r="U125" i="2"/>
  <c r="AB79" i="2"/>
  <c r="AB71" i="2"/>
  <c r="AB29" i="2"/>
  <c r="N20" i="1" s="1"/>
  <c r="B20" i="1" s="1"/>
  <c r="AE60" i="2"/>
  <c r="AB60" i="2"/>
  <c r="AE59" i="2"/>
  <c r="AB59" i="2"/>
  <c r="AE61" i="2"/>
  <c r="AB61" i="2"/>
  <c r="F8" i="2"/>
  <c r="X29" i="2"/>
  <c r="Q73" i="2"/>
  <c r="W73" i="2" s="1"/>
  <c r="Q50" i="2"/>
  <c r="W50" i="2" s="1"/>
  <c r="AC50" i="2" s="1"/>
  <c r="AG50" i="2" s="1"/>
  <c r="X50" i="2"/>
  <c r="Q44" i="2"/>
  <c r="W44" i="2" s="1"/>
  <c r="X44" i="2"/>
  <c r="Q34" i="2"/>
  <c r="W34" i="2" s="1"/>
  <c r="AC34" i="2" s="1"/>
  <c r="X34" i="2"/>
  <c r="AB34" i="2" s="1"/>
  <c r="Q99" i="2"/>
  <c r="W99" i="2" s="1"/>
  <c r="AC99" i="2" s="1"/>
  <c r="X99" i="2"/>
  <c r="AB99" i="2" s="1"/>
  <c r="Q53" i="2"/>
  <c r="W53" i="2" s="1"/>
  <c r="AC53" i="2" s="1"/>
  <c r="X53" i="2"/>
  <c r="Q43" i="2"/>
  <c r="W43" i="2" s="1"/>
  <c r="X43" i="2"/>
  <c r="X79" i="2"/>
  <c r="Q52" i="2"/>
  <c r="W52" i="2" s="1"/>
  <c r="X52" i="2"/>
  <c r="Q42" i="2"/>
  <c r="W42" i="2" s="1"/>
  <c r="AC42" i="2" s="1"/>
  <c r="AG42" i="2" s="1"/>
  <c r="X42" i="2"/>
  <c r="Q36" i="2"/>
  <c r="W36" i="2" s="1"/>
  <c r="AC36" i="2" s="1"/>
  <c r="X36" i="2"/>
  <c r="AB36" i="2" s="1"/>
  <c r="Q32" i="2"/>
  <c r="W32" i="2" s="1"/>
  <c r="X32" i="2"/>
  <c r="AB32" i="2" s="1"/>
  <c r="X63" i="2"/>
  <c r="Q103" i="2"/>
  <c r="W103" i="2" s="1"/>
  <c r="X103" i="2"/>
  <c r="AB103" i="2" s="1"/>
  <c r="AG103" i="2" s="1"/>
  <c r="Q92" i="2"/>
  <c r="W92" i="2" s="1"/>
  <c r="AC92" i="2" s="1"/>
  <c r="X92" i="2"/>
  <c r="AB92" i="2" s="1"/>
  <c r="Q49" i="2"/>
  <c r="W49" i="2" s="1"/>
  <c r="AC49" i="2" s="1"/>
  <c r="AG49" i="2" s="1"/>
  <c r="X49" i="2"/>
  <c r="Q37" i="2"/>
  <c r="W37" i="2" s="1"/>
  <c r="AC37" i="2" s="1"/>
  <c r="X37" i="2"/>
  <c r="AB37" i="2" s="1"/>
  <c r="Q33" i="2"/>
  <c r="W33" i="2" s="1"/>
  <c r="AC33" i="2" s="1"/>
  <c r="X33" i="2"/>
  <c r="AB33" i="2" s="1"/>
  <c r="F117" i="2"/>
  <c r="X115" i="2"/>
  <c r="X117" i="2" s="1"/>
  <c r="Q51" i="2"/>
  <c r="W51" i="2" s="1"/>
  <c r="X51" i="2"/>
  <c r="Q45" i="2"/>
  <c r="W45" i="2" s="1"/>
  <c r="AC45" i="2" s="1"/>
  <c r="AG45" i="2" s="1"/>
  <c r="X45" i="2"/>
  <c r="Q41" i="2"/>
  <c r="W41" i="2" s="1"/>
  <c r="X41" i="2"/>
  <c r="Q35" i="2"/>
  <c r="W35" i="2" s="1"/>
  <c r="X35" i="2"/>
  <c r="AB35" i="2" s="1"/>
  <c r="Q101" i="2"/>
  <c r="W101" i="2" s="1"/>
  <c r="Q94" i="2"/>
  <c r="W94" i="2" s="1"/>
  <c r="AC94" i="2" s="1"/>
  <c r="AG94" i="2" s="1"/>
  <c r="Q90" i="2"/>
  <c r="W90" i="2" s="1"/>
  <c r="AC90" i="2" s="1"/>
  <c r="AG90" i="2" s="1"/>
  <c r="Q28" i="2"/>
  <c r="W28" i="2" s="1"/>
  <c r="AC28" i="2" s="1"/>
  <c r="AG28" i="2" s="1"/>
  <c r="Q109" i="2"/>
  <c r="W109" i="2" s="1"/>
  <c r="Q85" i="2"/>
  <c r="W85" i="2" s="1"/>
  <c r="Q78" i="2"/>
  <c r="W78" i="2" s="1"/>
  <c r="Q74" i="2"/>
  <c r="W74" i="2" s="1"/>
  <c r="AC74" i="2" s="1"/>
  <c r="AG74" i="2" s="1"/>
  <c r="Q68" i="2"/>
  <c r="W68" i="2" s="1"/>
  <c r="Q102" i="2"/>
  <c r="W102" i="2" s="1"/>
  <c r="AC102" i="2" s="1"/>
  <c r="AG102" i="2" s="1"/>
  <c r="Q98" i="2"/>
  <c r="W98" i="2" s="1"/>
  <c r="Q91" i="2"/>
  <c r="W91" i="2" s="1"/>
  <c r="AC91" i="2" s="1"/>
  <c r="AG91" i="2" s="1"/>
  <c r="Q84" i="2"/>
  <c r="W84" i="2" s="1"/>
  <c r="AC84" i="2" s="1"/>
  <c r="AG84" i="2" s="1"/>
  <c r="Q111" i="2"/>
  <c r="W111" i="2" s="1"/>
  <c r="Q108" i="2"/>
  <c r="W108" i="2" s="1"/>
  <c r="AC108" i="2" s="1"/>
  <c r="AG108" i="2" s="1"/>
  <c r="Q107" i="2"/>
  <c r="W107" i="2" s="1"/>
  <c r="AC107" i="2" s="1"/>
  <c r="AG107" i="2" s="1"/>
  <c r="Q66" i="2"/>
  <c r="W66" i="2" s="1"/>
  <c r="AC66" i="2" s="1"/>
  <c r="AG66" i="2" s="1"/>
  <c r="Q106" i="2"/>
  <c r="W106" i="2" s="1"/>
  <c r="Q75" i="2"/>
  <c r="W75" i="2" s="1"/>
  <c r="AC75" i="2" s="1"/>
  <c r="AG75" i="2" s="1"/>
  <c r="P29" i="2"/>
  <c r="Q77" i="2"/>
  <c r="W77" i="2" s="1"/>
  <c r="AC77" i="2" s="1"/>
  <c r="AG77" i="2" s="1"/>
  <c r="P38" i="2"/>
  <c r="Q83" i="2"/>
  <c r="W83" i="2" s="1"/>
  <c r="AC83" i="2" s="1"/>
  <c r="AG83" i="2" s="1"/>
  <c r="Q76" i="2"/>
  <c r="W76" i="2" s="1"/>
  <c r="Q70" i="2"/>
  <c r="W70" i="2" s="1"/>
  <c r="Q100" i="2"/>
  <c r="W100" i="2" s="1"/>
  <c r="AC100" i="2" s="1"/>
  <c r="AG100" i="2" s="1"/>
  <c r="Q93" i="2"/>
  <c r="W93" i="2" s="1"/>
  <c r="Q86" i="2"/>
  <c r="W86" i="2" s="1"/>
  <c r="Q82" i="2"/>
  <c r="W82" i="2" s="1"/>
  <c r="Q69" i="2"/>
  <c r="W69" i="2" s="1"/>
  <c r="Q65" i="2"/>
  <c r="W65" i="2" s="1"/>
  <c r="Q110" i="2"/>
  <c r="W110" i="2" s="1"/>
  <c r="AF110" i="2" s="1"/>
  <c r="AF112" i="2" s="1"/>
  <c r="F71" i="2"/>
  <c r="K55" i="2"/>
  <c r="G55" i="2"/>
  <c r="Q115" i="2"/>
  <c r="F63" i="2"/>
  <c r="Q48" i="2"/>
  <c r="P46" i="2"/>
  <c r="N55" i="2"/>
  <c r="J55" i="2"/>
  <c r="Q67" i="2"/>
  <c r="W67" i="2" s="1"/>
  <c r="Q119" i="2"/>
  <c r="O55" i="2"/>
  <c r="Q40" i="2"/>
  <c r="W40" i="2" s="1"/>
  <c r="P104" i="2"/>
  <c r="P87" i="2"/>
  <c r="P112" i="2"/>
  <c r="F112" i="2"/>
  <c r="P71" i="2"/>
  <c r="P54" i="2"/>
  <c r="P13" i="2"/>
  <c r="P21" i="2" s="1"/>
  <c r="R55" i="2"/>
  <c r="M55" i="2"/>
  <c r="I55" i="2"/>
  <c r="P95" i="2"/>
  <c r="P79" i="2"/>
  <c r="L55" i="2"/>
  <c r="H55" i="2"/>
  <c r="Q27" i="2"/>
  <c r="W27" i="2" s="1"/>
  <c r="AC27" i="2" s="1"/>
  <c r="AG27" i="2" s="1"/>
  <c r="F104" i="2"/>
  <c r="F79" i="2"/>
  <c r="F38" i="2"/>
  <c r="Q58" i="2"/>
  <c r="W58" i="2" s="1"/>
  <c r="Q23" i="2"/>
  <c r="W23" i="2" s="1"/>
  <c r="Q12" i="2"/>
  <c r="Q9" i="2"/>
  <c r="W9" i="2" s="1"/>
  <c r="Q62" i="2"/>
  <c r="Q60" i="2"/>
  <c r="W60" i="2" s="1"/>
  <c r="AC60" i="2" s="1"/>
  <c r="Q25" i="2"/>
  <c r="W25" i="2" s="1"/>
  <c r="AC25" i="2" s="1"/>
  <c r="AG25" i="2" s="1"/>
  <c r="Q11" i="2"/>
  <c r="W11" i="2" s="1"/>
  <c r="Q61" i="2"/>
  <c r="W61" i="2" s="1"/>
  <c r="AC61" i="2" s="1"/>
  <c r="Q24" i="2"/>
  <c r="W24" i="2" s="1"/>
  <c r="AC24" i="2" s="1"/>
  <c r="AG24" i="2" s="1"/>
  <c r="Q10" i="2"/>
  <c r="Q26" i="2"/>
  <c r="W26" i="2" s="1"/>
  <c r="Q59" i="2"/>
  <c r="W59" i="2" s="1"/>
  <c r="AC59" i="2" s="1"/>
  <c r="D104" i="2"/>
  <c r="C104" i="2"/>
  <c r="D95" i="2"/>
  <c r="D87" i="2"/>
  <c r="D79" i="2"/>
  <c r="C79" i="2"/>
  <c r="D29" i="2"/>
  <c r="J23" i="3"/>
  <c r="C30" i="3"/>
  <c r="C28" i="3"/>
  <c r="J25" i="3"/>
  <c r="J26" i="3"/>
  <c r="J27" i="3"/>
  <c r="J28" i="3"/>
  <c r="J29" i="3"/>
  <c r="J30" i="3"/>
  <c r="J31" i="3"/>
  <c r="J24" i="3"/>
  <c r="J41" i="3"/>
  <c r="J40" i="3"/>
  <c r="J42" i="3" s="1"/>
  <c r="J37" i="3"/>
  <c r="J36" i="3"/>
  <c r="P96" i="2" l="1"/>
  <c r="X46" i="2"/>
  <c r="X112" i="2"/>
  <c r="AE63" i="2"/>
  <c r="Q8" i="2"/>
  <c r="W8" i="2" s="1"/>
  <c r="X104" i="2"/>
  <c r="W10" i="2"/>
  <c r="AE11" i="2"/>
  <c r="AE13" i="2" s="1"/>
  <c r="AF11" i="2"/>
  <c r="AF13" i="2" s="1"/>
  <c r="W71" i="2"/>
  <c r="AC67" i="2"/>
  <c r="AG67" i="2" s="1"/>
  <c r="AB104" i="2"/>
  <c r="AG37" i="2"/>
  <c r="AG34" i="2"/>
  <c r="AB63" i="2"/>
  <c r="J38" i="3"/>
  <c r="AG92" i="2"/>
  <c r="AD106" i="2"/>
  <c r="AC106" i="2"/>
  <c r="AF52" i="2"/>
  <c r="AF54" i="2" s="1"/>
  <c r="AC52" i="2"/>
  <c r="AG52" i="2" s="1"/>
  <c r="AD73" i="2"/>
  <c r="AD79" i="2" s="1"/>
  <c r="AC73" i="2"/>
  <c r="AC11" i="2"/>
  <c r="AG11" i="2" s="1"/>
  <c r="AE35" i="2"/>
  <c r="AE38" i="2" s="1"/>
  <c r="AF35" i="2"/>
  <c r="AF38" i="2" s="1"/>
  <c r="AC35" i="2"/>
  <c r="AG35" i="2" s="1"/>
  <c r="AB38" i="2"/>
  <c r="AB55" i="2" s="1"/>
  <c r="N16" i="1" s="1"/>
  <c r="B16" i="1" s="1"/>
  <c r="AD65" i="2"/>
  <c r="AD71" i="2" s="1"/>
  <c r="AC65" i="2"/>
  <c r="AF93" i="2"/>
  <c r="AF95" i="2" s="1"/>
  <c r="AE93" i="2"/>
  <c r="AE95" i="2" s="1"/>
  <c r="AC93" i="2"/>
  <c r="AG93" i="2" s="1"/>
  <c r="AF76" i="2"/>
  <c r="AF79" i="2" s="1"/>
  <c r="AE76" i="2"/>
  <c r="AE79" i="2" s="1"/>
  <c r="AC76" i="2"/>
  <c r="AG76" i="2" s="1"/>
  <c r="AE85" i="2"/>
  <c r="AE87" i="2" s="1"/>
  <c r="AC85" i="2"/>
  <c r="AG85" i="2" s="1"/>
  <c r="AF85" i="2"/>
  <c r="AF87" i="2" s="1"/>
  <c r="AG33" i="2"/>
  <c r="AC32" i="2"/>
  <c r="AD32" i="2"/>
  <c r="AD38" i="2" s="1"/>
  <c r="AG99" i="2"/>
  <c r="AD40" i="2"/>
  <c r="AD46" i="2" s="1"/>
  <c r="AC40" i="2"/>
  <c r="AD82" i="2"/>
  <c r="AC82" i="2"/>
  <c r="AC26" i="2"/>
  <c r="AG26" i="2" s="1"/>
  <c r="AE26" i="2"/>
  <c r="AE29" i="2" s="1"/>
  <c r="AF26" i="2"/>
  <c r="AF29" i="2" s="1"/>
  <c r="AD98" i="2"/>
  <c r="AD104" i="2" s="1"/>
  <c r="AC98" i="2"/>
  <c r="AD23" i="2"/>
  <c r="AD29" i="2" s="1"/>
  <c r="AC23" i="2"/>
  <c r="AE69" i="2"/>
  <c r="AF69" i="2"/>
  <c r="AC69" i="2"/>
  <c r="AG69" i="2" s="1"/>
  <c r="AF68" i="2"/>
  <c r="AC68" i="2"/>
  <c r="AG68" i="2" s="1"/>
  <c r="AE68" i="2"/>
  <c r="AE109" i="2"/>
  <c r="AE112" i="2" s="1"/>
  <c r="AC109" i="2"/>
  <c r="AG109" i="2" s="1"/>
  <c r="AC101" i="2"/>
  <c r="AG101" i="2" s="1"/>
  <c r="AF101" i="2"/>
  <c r="AF104" i="2" s="1"/>
  <c r="AE101" i="2"/>
  <c r="AE104" i="2" s="1"/>
  <c r="Y41" i="2"/>
  <c r="Y46" i="2" s="1"/>
  <c r="Y55" i="2" s="1"/>
  <c r="AC41" i="2"/>
  <c r="AG41" i="2" s="1"/>
  <c r="AE51" i="2"/>
  <c r="AE54" i="2" s="1"/>
  <c r="AC51" i="2"/>
  <c r="AG51" i="2" s="1"/>
  <c r="AG36" i="2"/>
  <c r="AC43" i="2"/>
  <c r="AG43" i="2" s="1"/>
  <c r="AE43" i="2"/>
  <c r="AE46" i="2" s="1"/>
  <c r="AF44" i="2"/>
  <c r="AF46" i="2" s="1"/>
  <c r="AC44" i="2"/>
  <c r="AG44" i="2" s="1"/>
  <c r="X8" i="2"/>
  <c r="AB8" i="2" s="1"/>
  <c r="W38" i="2"/>
  <c r="X54" i="2"/>
  <c r="Q38" i="2"/>
  <c r="W79" i="2"/>
  <c r="X38" i="2"/>
  <c r="Q46" i="2"/>
  <c r="W46" i="2"/>
  <c r="Q117" i="2"/>
  <c r="W115" i="2"/>
  <c r="W112" i="2"/>
  <c r="Q120" i="2"/>
  <c r="W119" i="2"/>
  <c r="Q54" i="2"/>
  <c r="W48" i="2"/>
  <c r="W104" i="2"/>
  <c r="W29" i="2"/>
  <c r="Q104" i="2"/>
  <c r="R121" i="2"/>
  <c r="G121" i="2"/>
  <c r="Q112" i="2"/>
  <c r="Q79" i="2"/>
  <c r="O121" i="2"/>
  <c r="H121" i="2"/>
  <c r="K121" i="2"/>
  <c r="Q71" i="2"/>
  <c r="L121" i="2"/>
  <c r="I121" i="2"/>
  <c r="N121" i="2"/>
  <c r="Q29" i="2"/>
  <c r="J121" i="2"/>
  <c r="Q63" i="2"/>
  <c r="P55" i="2"/>
  <c r="M121" i="2"/>
  <c r="C87" i="2"/>
  <c r="F81" i="2"/>
  <c r="X81" i="2" s="1"/>
  <c r="X87" i="2" s="1"/>
  <c r="C95" i="2"/>
  <c r="F89" i="2"/>
  <c r="X89" i="2" s="1"/>
  <c r="J32" i="3"/>
  <c r="C7" i="3"/>
  <c r="J7" i="3" s="1"/>
  <c r="J8" i="3"/>
  <c r="AG82" i="2" l="1"/>
  <c r="W13" i="2"/>
  <c r="W21" i="2" s="1"/>
  <c r="AC10" i="2"/>
  <c r="AG10" i="2" s="1"/>
  <c r="AF71" i="2"/>
  <c r="Q55" i="2"/>
  <c r="W54" i="2"/>
  <c r="W55" i="2" s="1"/>
  <c r="AC48" i="2"/>
  <c r="AD48" i="2"/>
  <c r="AD54" i="2" s="1"/>
  <c r="AD55" i="2" s="1"/>
  <c r="AD8" i="2"/>
  <c r="AD13" i="2" s="1"/>
  <c r="AD21" i="2" s="1"/>
  <c r="AC8" i="2"/>
  <c r="AC13" i="2" s="1"/>
  <c r="AC21" i="2" s="1"/>
  <c r="AF55" i="2"/>
  <c r="W120" i="2"/>
  <c r="AB119" i="2"/>
  <c r="AB120" i="2" s="1"/>
  <c r="N21" i="1" s="1"/>
  <c r="K21" i="1" s="1"/>
  <c r="AD119" i="2"/>
  <c r="AD120" i="2" s="1"/>
  <c r="AC119" i="2"/>
  <c r="AC120" i="2" s="1"/>
  <c r="W117" i="2"/>
  <c r="AC115" i="2"/>
  <c r="AE115" i="2"/>
  <c r="AE117" i="2" s="1"/>
  <c r="X13" i="2"/>
  <c r="AC71" i="2"/>
  <c r="AG65" i="2"/>
  <c r="AG71" i="2" s="1"/>
  <c r="AC79" i="2"/>
  <c r="AG73" i="2"/>
  <c r="AG79" i="2" s="1"/>
  <c r="AC112" i="2"/>
  <c r="AB81" i="2"/>
  <c r="AD58" i="2"/>
  <c r="AD63" i="2" s="1"/>
  <c r="AC58" i="2"/>
  <c r="AC29" i="2"/>
  <c r="AG23" i="2"/>
  <c r="AG29" i="2" s="1"/>
  <c r="X95" i="2"/>
  <c r="X96" i="2" s="1"/>
  <c r="AB89" i="2"/>
  <c r="AE55" i="2"/>
  <c r="AE71" i="2"/>
  <c r="AC104" i="2"/>
  <c r="AG98" i="2"/>
  <c r="AG104" i="2" s="1"/>
  <c r="AG40" i="2"/>
  <c r="AG46" i="2" s="1"/>
  <c r="AC46" i="2"/>
  <c r="AC38" i="2"/>
  <c r="AG32" i="2"/>
  <c r="AG38" i="2" s="1"/>
  <c r="AG106" i="2"/>
  <c r="AG112" i="2" s="1"/>
  <c r="AD112" i="2"/>
  <c r="X55" i="2"/>
  <c r="W63" i="2"/>
  <c r="Q13" i="2"/>
  <c r="Q21" i="2" s="1"/>
  <c r="AG61" i="2"/>
  <c r="AG59" i="2"/>
  <c r="P121" i="2"/>
  <c r="AG60" i="2"/>
  <c r="F95" i="2"/>
  <c r="F96" i="2" s="1"/>
  <c r="F121" i="2" s="1"/>
  <c r="F123" i="2" s="1"/>
  <c r="Q89" i="2"/>
  <c r="F87" i="2"/>
  <c r="Q81" i="2"/>
  <c r="J6" i="3"/>
  <c r="J5" i="3"/>
  <c r="J11" i="3"/>
  <c r="J34" i="3"/>
  <c r="J33" i="3"/>
  <c r="J35" i="3" s="1"/>
  <c r="K27" i="1" l="1"/>
  <c r="K35" i="1" s="1"/>
  <c r="K41" i="1" s="1"/>
  <c r="K102" i="1" s="1"/>
  <c r="K126" i="1" s="1"/>
  <c r="X56" i="2"/>
  <c r="AF121" i="2"/>
  <c r="N30" i="1" s="1"/>
  <c r="B30" i="1" s="1"/>
  <c r="J9" i="3"/>
  <c r="AE121" i="2"/>
  <c r="N29" i="1" s="1"/>
  <c r="AG48" i="2"/>
  <c r="AG54" i="2" s="1"/>
  <c r="AG55" i="2" s="1"/>
  <c r="AC54" i="2"/>
  <c r="AC55" i="2" s="1"/>
  <c r="AG115" i="2"/>
  <c r="AG117" i="2" s="1"/>
  <c r="AC117" i="2"/>
  <c r="AB95" i="2"/>
  <c r="AB96" i="2" s="1"/>
  <c r="AB87" i="2"/>
  <c r="AG8" i="2"/>
  <c r="AG13" i="2" s="1"/>
  <c r="AG21" i="2" s="1"/>
  <c r="AB13" i="2"/>
  <c r="N19" i="1" s="1"/>
  <c r="X121" i="2"/>
  <c r="AG58" i="2"/>
  <c r="AG63" i="2" s="1"/>
  <c r="AC63" i="2"/>
  <c r="Q95" i="2"/>
  <c r="W89" i="2"/>
  <c r="Q87" i="2"/>
  <c r="W81" i="2"/>
  <c r="K11" i="3"/>
  <c r="J12" i="3"/>
  <c r="J43" i="3" s="1"/>
  <c r="Q96" i="2" l="1"/>
  <c r="Y124" i="2"/>
  <c r="Y125" i="2" s="1"/>
  <c r="X123" i="2"/>
  <c r="X124" i="2" s="1"/>
  <c r="B29" i="1"/>
  <c r="N18" i="1"/>
  <c r="B18" i="1" s="1"/>
  <c r="Q121" i="2"/>
  <c r="W95" i="2"/>
  <c r="W96" i="2" s="1"/>
  <c r="AC89" i="2"/>
  <c r="B19" i="1"/>
  <c r="W87" i="2"/>
  <c r="AD81" i="2"/>
  <c r="AD87" i="2" s="1"/>
  <c r="AC81" i="2"/>
  <c r="J118" i="1"/>
  <c r="I118" i="1"/>
  <c r="H118" i="1"/>
  <c r="G118" i="1"/>
  <c r="F118" i="1"/>
  <c r="E118" i="1"/>
  <c r="D118" i="1"/>
  <c r="C118" i="1"/>
  <c r="B118" i="1"/>
  <c r="J76" i="1"/>
  <c r="I76" i="1"/>
  <c r="H76" i="1"/>
  <c r="G76" i="1"/>
  <c r="F76" i="1"/>
  <c r="E76" i="1"/>
  <c r="D76" i="1"/>
  <c r="C76" i="1"/>
  <c r="N63" i="1" l="1"/>
  <c r="N76" i="1" s="1"/>
  <c r="N64" i="10"/>
  <c r="N103" i="10" s="1"/>
  <c r="N104" i="10" s="1"/>
  <c r="N128" i="10" s="1"/>
  <c r="N130" i="10" s="1"/>
  <c r="AD96" i="2"/>
  <c r="AD121" i="2" s="1"/>
  <c r="N28" i="1" s="1"/>
  <c r="B28" i="1" s="1"/>
  <c r="B27" i="1"/>
  <c r="N27" i="1"/>
  <c r="Q123" i="2"/>
  <c r="U126" i="2"/>
  <c r="N11" i="1"/>
  <c r="AB121" i="2"/>
  <c r="Q124" i="2"/>
  <c r="W121" i="2"/>
  <c r="AC87" i="2"/>
  <c r="AG81" i="2"/>
  <c r="AG87" i="2" s="1"/>
  <c r="AC95" i="2"/>
  <c r="AC96" i="2" s="1"/>
  <c r="AG89" i="2"/>
  <c r="AG95" i="2" s="1"/>
  <c r="AG96" i="2" s="1"/>
  <c r="E101" i="1"/>
  <c r="E102" i="1" s="1"/>
  <c r="E126" i="1" s="1"/>
  <c r="I101" i="1"/>
  <c r="I102" i="1" s="1"/>
  <c r="I126" i="1" s="1"/>
  <c r="F101" i="1"/>
  <c r="F102" i="1" s="1"/>
  <c r="F126" i="1" s="1"/>
  <c r="J101" i="1"/>
  <c r="J102" i="1" s="1"/>
  <c r="J126" i="1" s="1"/>
  <c r="C101" i="1"/>
  <c r="C102" i="1" s="1"/>
  <c r="C126" i="1" s="1"/>
  <c r="G101" i="1"/>
  <c r="G102" i="1" s="1"/>
  <c r="G126" i="1" s="1"/>
  <c r="D101" i="1"/>
  <c r="D102" i="1" s="1"/>
  <c r="D126" i="1" s="1"/>
  <c r="H101" i="1"/>
  <c r="H102" i="1" s="1"/>
  <c r="H126" i="1" s="1"/>
  <c r="B35" i="1" l="1"/>
  <c r="B41" i="1" s="1"/>
  <c r="N91" i="1"/>
  <c r="N96" i="1" s="1"/>
  <c r="N101" i="1" s="1"/>
  <c r="N35" i="1"/>
  <c r="N41" i="1" s="1"/>
  <c r="AG121" i="2"/>
  <c r="AC121" i="2"/>
  <c r="B76" i="1"/>
  <c r="B101" i="1" s="1"/>
  <c r="B111" i="1"/>
  <c r="N111" i="1"/>
  <c r="B102" i="1" l="1"/>
  <c r="B126" i="1" s="1"/>
  <c r="N102" i="1"/>
  <c r="N126" i="1" s="1"/>
  <c r="N128" i="1" s="1"/>
</calcChain>
</file>

<file path=xl/comments1.xml><?xml version="1.0" encoding="utf-8"?>
<comments xmlns="http://schemas.openxmlformats.org/spreadsheetml/2006/main">
  <authors>
    <author>USE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Minisante schlorship inclusive
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one student who don't have full details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USE:</t>
        </r>
        <r>
          <rPr>
            <sz val="9"/>
            <color indexed="81"/>
            <rFont val="Tahoma"/>
            <family val="2"/>
          </rPr>
          <t xml:space="preserve">
There is 2 student who suspended their studies
</t>
        </r>
      </text>
    </comment>
  </commentList>
</comments>
</file>

<file path=xl/sharedStrings.xml><?xml version="1.0" encoding="utf-8"?>
<sst xmlns="http://schemas.openxmlformats.org/spreadsheetml/2006/main" count="679" uniqueCount="315">
  <si>
    <t>TOTAL</t>
  </si>
  <si>
    <t>Revenue</t>
  </si>
  <si>
    <t>Tuition Fees</t>
  </si>
  <si>
    <t>No of students</t>
  </si>
  <si>
    <t>Other Income</t>
  </si>
  <si>
    <t>Fines</t>
  </si>
  <si>
    <t>OPERATING EXPENSES</t>
  </si>
  <si>
    <t>Building Insurance</t>
  </si>
  <si>
    <t>Contribution in other Organism</t>
  </si>
  <si>
    <t>Bank Charges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</si>
  <si>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</si>
  <si>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</si>
  <si>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</si>
  <si>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</si>
  <si>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</si>
  <si>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</si>
  <si>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</si>
  <si>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</si>
  <si>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</si>
  <si>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</si>
  <si>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</si>
  <si>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</si>
  <si>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Graduands</t>
  </si>
  <si>
    <t>L8 S1&amp;2</t>
  </si>
  <si>
    <t>L8 S3&amp;4</t>
  </si>
  <si>
    <t>L8 S5&amp;6</t>
  </si>
  <si>
    <t>L8 S7&amp;8</t>
  </si>
  <si>
    <t>Day program</t>
  </si>
  <si>
    <t>Weekend Program</t>
  </si>
  <si>
    <t>Holiday program</t>
  </si>
  <si>
    <t>Department Biomedical Laboratory science</t>
  </si>
  <si>
    <t>Department of computer science</t>
  </si>
  <si>
    <t>Educational Management and planning</t>
  </si>
  <si>
    <t>Department of Science</t>
  </si>
  <si>
    <t>Department of art and social science</t>
  </si>
  <si>
    <t xml:space="preserve">Public Health </t>
  </si>
  <si>
    <t>Human Nutrition</t>
  </si>
  <si>
    <t>Nursing</t>
  </si>
  <si>
    <t>Midwifery</t>
  </si>
  <si>
    <t>2.Faculty of social work</t>
  </si>
  <si>
    <t>3.Faculty of Education</t>
  </si>
  <si>
    <t>4.Faculty of public health and Human Nutrition</t>
  </si>
  <si>
    <t>5. Faculty of Catechesis</t>
  </si>
  <si>
    <t>1.Faculty of science and technology</t>
  </si>
  <si>
    <t>6.Faculty of commerce</t>
  </si>
  <si>
    <t>Partime</t>
  </si>
  <si>
    <t>Total students</t>
  </si>
  <si>
    <t>7.Postgraduate students</t>
  </si>
  <si>
    <t>Huye campus</t>
  </si>
  <si>
    <t>Ngoma Learning center</t>
  </si>
  <si>
    <t>L9</t>
  </si>
  <si>
    <t>Grand total number of students</t>
  </si>
  <si>
    <t xml:space="preserve">Tuition fees </t>
  </si>
  <si>
    <t>Sponsored Student</t>
  </si>
  <si>
    <t>Minisante</t>
  </si>
  <si>
    <t>Chancen</t>
  </si>
  <si>
    <t>Application fees</t>
  </si>
  <si>
    <t>Total</t>
  </si>
  <si>
    <t>Private student</t>
  </si>
  <si>
    <t>Internship fees</t>
  </si>
  <si>
    <t>Final project fees</t>
  </si>
  <si>
    <t>3.1 Educational Management and planning</t>
  </si>
  <si>
    <t>3.2 Department of art and social science</t>
  </si>
  <si>
    <t>3.3 Department of Science</t>
  </si>
  <si>
    <t>Holiday Program</t>
  </si>
  <si>
    <t>Projected New student</t>
  </si>
  <si>
    <t>Current Student</t>
  </si>
  <si>
    <t>Total Student Budgeted 2024-2025</t>
  </si>
  <si>
    <t>Total students in BLS</t>
  </si>
  <si>
    <t>Total Students in CS</t>
  </si>
  <si>
    <t xml:space="preserve">Total Projected </t>
  </si>
  <si>
    <t>Total Students PGDE</t>
  </si>
  <si>
    <t>7.1 PGDE</t>
  </si>
  <si>
    <t>7.2 Other Postgradute studies</t>
  </si>
  <si>
    <t>1.Total Students in faculty of Science and technology</t>
  </si>
  <si>
    <t>2.Total students Faculty of social work</t>
  </si>
  <si>
    <t>3. Total students in faculty of Education</t>
  </si>
  <si>
    <t>Total students Faculty of Catechesis and Religious science</t>
  </si>
  <si>
    <t>Total Other postgraduate studies</t>
  </si>
  <si>
    <t>YWCA</t>
  </si>
  <si>
    <t>Registration fees+Technology fees</t>
  </si>
  <si>
    <t xml:space="preserve">Existing </t>
  </si>
  <si>
    <t>Projected</t>
  </si>
  <si>
    <t>Existing private student</t>
  </si>
  <si>
    <t>Projected Private</t>
  </si>
  <si>
    <t>Sept int</t>
  </si>
  <si>
    <t>March In</t>
  </si>
  <si>
    <t>June int</t>
  </si>
  <si>
    <t>L9(ProposedTuition fees 1,800,000)</t>
  </si>
  <si>
    <t>Faculty of Catechesis and Religious Sciences</t>
  </si>
  <si>
    <t>Faculty of Commerce</t>
  </si>
  <si>
    <t>Faculty of Education -under graduates</t>
  </si>
  <si>
    <t>Faculty of Education -PGD- Taba campus-Kibungo Learning Center</t>
  </si>
  <si>
    <t>Faculty of Public Health and Human Nutrition</t>
  </si>
  <si>
    <t>Faculty  of Science and Technology</t>
  </si>
  <si>
    <t>Faculty of Social Work</t>
  </si>
  <si>
    <t>Chancen Student Tuition fees</t>
  </si>
  <si>
    <t>Ministry of health sponsored student</t>
  </si>
  <si>
    <t>Total Tuition fees</t>
  </si>
  <si>
    <t>Research supervision fees</t>
  </si>
  <si>
    <t>Graduation fees</t>
  </si>
  <si>
    <t>Retake fees</t>
  </si>
  <si>
    <t>Academic documents fees</t>
  </si>
  <si>
    <t>Expected  New Masters Program fees</t>
  </si>
  <si>
    <t>Budgeted Number of Students</t>
  </si>
  <si>
    <t>Administrative Cost</t>
  </si>
  <si>
    <t>Communication</t>
  </si>
  <si>
    <t xml:space="preserve">Security </t>
  </si>
  <si>
    <t xml:space="preserve">Medical insurance </t>
  </si>
  <si>
    <t xml:space="preserve">Carburant/fuel </t>
  </si>
  <si>
    <t>Postal Charge</t>
  </si>
  <si>
    <t>Supplies &amp; office materials</t>
  </si>
  <si>
    <t>Marketing and Publicity</t>
  </si>
  <si>
    <t>Vehicle Insurance</t>
  </si>
  <si>
    <t>Mission Fees</t>
  </si>
  <si>
    <t>Kibungo L.Center rental cost.</t>
  </si>
  <si>
    <t>Unforseen expenses</t>
  </si>
  <si>
    <t>Academic cost</t>
  </si>
  <si>
    <t>Research</t>
  </si>
  <si>
    <t>Seminars and conferences</t>
  </si>
  <si>
    <t>Designing and launching new programs</t>
  </si>
  <si>
    <t>Other academic activities (field visit,community services..)</t>
  </si>
  <si>
    <t>Total Academic Cost</t>
  </si>
  <si>
    <t>ICT COST</t>
  </si>
  <si>
    <t xml:space="preserve">Subscription to anti plagiarism software </t>
  </si>
  <si>
    <t>Maintenance of IT equipment</t>
  </si>
  <si>
    <t>Website hosting+Elearning platform hosting + MIS Hosting</t>
  </si>
  <si>
    <t>Supplying softwares(library&amp; registry)</t>
  </si>
  <si>
    <t>Subsription to online meeting software like webex, Ms team, Zoom</t>
  </si>
  <si>
    <t xml:space="preserve">Configuration of CUR Server room </t>
  </si>
  <si>
    <t>Annual Internet connection subscriptionn:(Taba and Save)</t>
  </si>
  <si>
    <t>Total ICT COST</t>
  </si>
  <si>
    <t>Finance Cost</t>
  </si>
  <si>
    <t>Cogebanque loan Interest</t>
  </si>
  <si>
    <t>Total finance cost</t>
  </si>
  <si>
    <t>TOTAL OPERATING EXPENSES(B)</t>
  </si>
  <si>
    <t>SURPLUS /DEFICIT FOR PERIOD(A-B)</t>
  </si>
  <si>
    <t>CASH FLOW</t>
  </si>
  <si>
    <t>CAPITAL EXPENDITURE</t>
  </si>
  <si>
    <t xml:space="preserve">Other Equipment </t>
  </si>
  <si>
    <t>Building &amp; Rehabilitation</t>
  </si>
  <si>
    <t>20% Security for Chancen student</t>
  </si>
  <si>
    <t>Refund of Toge caution</t>
  </si>
  <si>
    <t>Total Capital Expenditure</t>
  </si>
  <si>
    <t>Financing</t>
  </si>
  <si>
    <t>Fund Mobilised</t>
  </si>
  <si>
    <t>Owner contribution</t>
  </si>
  <si>
    <t xml:space="preserve"> Principal Loan repayment Cogebanque</t>
  </si>
  <si>
    <t>Total Financing</t>
  </si>
  <si>
    <t>Other arrear repayments</t>
  </si>
  <si>
    <t>Case de solidaritte</t>
  </si>
  <si>
    <t>Other payables</t>
  </si>
  <si>
    <t>RSSB penalties</t>
  </si>
  <si>
    <t>RRA Penalties</t>
  </si>
  <si>
    <t>Total arrear repayments</t>
  </si>
  <si>
    <t xml:space="preserve">Free Cash Flow After Debt Paydown </t>
  </si>
  <si>
    <t>Opening Bank balance</t>
  </si>
  <si>
    <t>Cumulative FCF After Debt</t>
  </si>
  <si>
    <t>Staff Cost</t>
  </si>
  <si>
    <t>Full timeTeaching staff</t>
  </si>
  <si>
    <t>Part time teaching staff</t>
  </si>
  <si>
    <t>Administrative + Support staff</t>
  </si>
  <si>
    <t>CPA staff</t>
  </si>
  <si>
    <t>Total Staff Cost</t>
  </si>
  <si>
    <t xml:space="preserve">Water &amp; Electricity </t>
  </si>
  <si>
    <t>Marketing Agents Expenses fee</t>
  </si>
  <si>
    <t>Employees Capacity Building</t>
  </si>
  <si>
    <t>External Audit fee</t>
  </si>
  <si>
    <t>Laboratory Consumables</t>
  </si>
  <si>
    <t>Public Relation</t>
  </si>
  <si>
    <t>Panel fees</t>
  </si>
  <si>
    <t>Accueil et reception</t>
  </si>
  <si>
    <t>Kaspesky  (Antivirus )</t>
  </si>
  <si>
    <t>School gear fees</t>
  </si>
  <si>
    <t>Missio Invest Interest</t>
  </si>
  <si>
    <t xml:space="preserve"> Principal Loan repayment Missio Invest</t>
  </si>
  <si>
    <t>Senior Lecturer</t>
  </si>
  <si>
    <t>Lecturer</t>
  </si>
  <si>
    <t>Ass Lecturer</t>
  </si>
  <si>
    <t>Tutorial Ass</t>
  </si>
  <si>
    <t>Proposed Salary structure</t>
  </si>
  <si>
    <t>Existing Sponsored</t>
  </si>
  <si>
    <t>Projected Sponsored</t>
  </si>
  <si>
    <t>CHANCEN DETAILS</t>
  </si>
  <si>
    <t>COHORT 2023A</t>
  </si>
  <si>
    <t>COHORT 2024A</t>
  </si>
  <si>
    <t>Total chancen existing</t>
  </si>
  <si>
    <t>100 students in March</t>
  </si>
  <si>
    <t>130 students in June</t>
  </si>
  <si>
    <t>Partnership fees</t>
  </si>
  <si>
    <t>Grand Total</t>
  </si>
  <si>
    <t>YWCA Details</t>
  </si>
  <si>
    <t>Computer Science</t>
  </si>
  <si>
    <t xml:space="preserve">Biomedical </t>
  </si>
  <si>
    <t>Rector</t>
  </si>
  <si>
    <t>Vice-Rector</t>
  </si>
  <si>
    <t>DAF</t>
  </si>
  <si>
    <t>DOQ</t>
  </si>
  <si>
    <t>Dean of FCRS</t>
  </si>
  <si>
    <t>Dean of FED</t>
  </si>
  <si>
    <t>Dean of FST</t>
  </si>
  <si>
    <t>Dean of FCOM</t>
  </si>
  <si>
    <t>Dean of FSW</t>
  </si>
  <si>
    <t>Dean of FPHHN</t>
  </si>
  <si>
    <t>Dean of students</t>
  </si>
  <si>
    <t>Academic Registrar</t>
  </si>
  <si>
    <t>Academic secretaries FCRS</t>
  </si>
  <si>
    <t>Academic secretaries FED</t>
  </si>
  <si>
    <t>Academic secretaries FST</t>
  </si>
  <si>
    <t>Academic secretaries FCOM</t>
  </si>
  <si>
    <t>Academic secretaries FSW</t>
  </si>
  <si>
    <t>Academic secretaries FPHHN</t>
  </si>
  <si>
    <t>Director of library</t>
  </si>
  <si>
    <t>Director of Research</t>
  </si>
  <si>
    <t>Director of ICT</t>
  </si>
  <si>
    <t>Director of Marketing</t>
  </si>
  <si>
    <t>HOD BLS</t>
  </si>
  <si>
    <t>HOD CS</t>
  </si>
  <si>
    <t>HOD Midwifery</t>
  </si>
  <si>
    <t>HOD Nursing</t>
  </si>
  <si>
    <t>HOD MAC</t>
  </si>
  <si>
    <t>HOD CENG</t>
  </si>
  <si>
    <t>HOD ED sc</t>
  </si>
  <si>
    <t>HOD ED Social science</t>
  </si>
  <si>
    <t>HOD ED Mgt&amp;plan</t>
  </si>
  <si>
    <t>HOD HN&amp;PH</t>
  </si>
  <si>
    <t>Chief Accountant</t>
  </si>
  <si>
    <t>Human Ressource</t>
  </si>
  <si>
    <t>RECOVERY OFFICE</t>
  </si>
  <si>
    <t>Assistant Registrar1</t>
  </si>
  <si>
    <t>Assistant Registrar 2</t>
  </si>
  <si>
    <t>Assistant Registrar3</t>
  </si>
  <si>
    <t>AssiStant VRAC</t>
  </si>
  <si>
    <t>Assitatnt RECTOR</t>
  </si>
  <si>
    <t>Accountant/Cashier</t>
  </si>
  <si>
    <t>Logistic</t>
  </si>
  <si>
    <t>Marketing Agent</t>
  </si>
  <si>
    <t>Driver 1</t>
  </si>
  <si>
    <t>Driver 2</t>
  </si>
  <si>
    <t>Communication fee Policy</t>
  </si>
  <si>
    <t xml:space="preserve">Accomodation fee </t>
  </si>
  <si>
    <t>Total academic cost</t>
  </si>
  <si>
    <t>Responsability allowance</t>
  </si>
  <si>
    <t>Responsibility allowance</t>
  </si>
  <si>
    <t>Graduation expenses</t>
  </si>
  <si>
    <t>Number of graduates</t>
  </si>
  <si>
    <t>Supervisor</t>
  </si>
  <si>
    <t>Panel members</t>
  </si>
  <si>
    <t>Total Income</t>
  </si>
  <si>
    <t>TOTAL REVENUE(A)</t>
  </si>
  <si>
    <t>Other Income(Different IURA Projects)</t>
  </si>
  <si>
    <t>Administrative+Academic staff 4% Arrears +Final project</t>
  </si>
  <si>
    <t>Rent ISR</t>
  </si>
  <si>
    <t>MINISANTE</t>
  </si>
  <si>
    <t>Nurs&amp;Mid</t>
  </si>
  <si>
    <t>HN&amp;BLS</t>
  </si>
  <si>
    <t>FCRS</t>
  </si>
  <si>
    <t>FPHHN</t>
  </si>
  <si>
    <t>FSW</t>
  </si>
  <si>
    <t>FST</t>
  </si>
  <si>
    <t>FED</t>
  </si>
  <si>
    <t>GENERAL TOTAL</t>
  </si>
  <si>
    <t>Total Existing</t>
  </si>
  <si>
    <t>Existing structure</t>
  </si>
  <si>
    <t>Proposed new structure</t>
  </si>
  <si>
    <t>Difference</t>
  </si>
  <si>
    <t>This change of increase of 5% of basic salary will have overall impact which the following:</t>
  </si>
  <si>
    <t>Total  staff cost will increase Monthly by:</t>
  </si>
  <si>
    <t>Academic staff</t>
  </si>
  <si>
    <t>Administratif staff</t>
  </si>
  <si>
    <t>Total Monthly Increase</t>
  </si>
  <si>
    <t>Total annual increase in staff</t>
  </si>
  <si>
    <t>Part-time</t>
  </si>
  <si>
    <t>FCOM</t>
  </si>
  <si>
    <t>Other payment(Consultancy fees)</t>
  </si>
  <si>
    <t>Total Students in FP</t>
  </si>
  <si>
    <t>4.1 Department Biomedical Laboratory science</t>
  </si>
  <si>
    <t xml:space="preserve">4.2 Public Health </t>
  </si>
  <si>
    <t>4.3 Human Nutrition</t>
  </si>
  <si>
    <t>4.4 Nursing</t>
  </si>
  <si>
    <t>4.5 Midwifery</t>
  </si>
  <si>
    <t>4.Faculty of Health studies</t>
  </si>
  <si>
    <t>4. Total Student in faculty of Health sciences</t>
  </si>
  <si>
    <t>6.Faculty of Business studies</t>
  </si>
  <si>
    <t>Total students in faculty of business studies</t>
  </si>
  <si>
    <t>1.1 Department of computer science</t>
  </si>
  <si>
    <t>1.2 Food processing Department</t>
  </si>
  <si>
    <t>September 2025 Intake</t>
  </si>
  <si>
    <t>March 2026 Intake</t>
  </si>
  <si>
    <t>June 2026 Intake</t>
  </si>
  <si>
    <t>Internship Supervision fees</t>
  </si>
  <si>
    <t>Maintenaince and repair</t>
  </si>
  <si>
    <t>Total Administrative Cost</t>
  </si>
  <si>
    <t>Purchase of Additional books (For Masters program,and other bachelor program)</t>
  </si>
  <si>
    <t>Financial Budget  for Academic year 2025-2026</t>
  </si>
  <si>
    <t>new Computers+E-learning</t>
  </si>
  <si>
    <t>Number of students</t>
  </si>
  <si>
    <t>% Increase</t>
  </si>
  <si>
    <t>Number of student at start of 2024-2025</t>
  </si>
  <si>
    <t>Number of student at end  of 2024-2025</t>
  </si>
  <si>
    <t>Increase in number of student at year end</t>
  </si>
  <si>
    <t>Faculty of Health Science</t>
  </si>
  <si>
    <t>Faculty of Business studies</t>
  </si>
  <si>
    <t>Hygiene and sanitation</t>
  </si>
  <si>
    <t>BUDGET FOR ACADEMIC YEAR 2025-2026</t>
  </si>
  <si>
    <t>Number of student at start of 2025-2026</t>
  </si>
  <si>
    <t>Number of student Budgeted at end  of 2025-2026</t>
  </si>
  <si>
    <t>Purchase of Additional books (For Masters program,and other Bachelor program)</t>
  </si>
  <si>
    <t>New Computers+E-learning</t>
  </si>
  <si>
    <t>FHS</t>
  </si>
  <si>
    <t>FBS</t>
  </si>
  <si>
    <t>Post graduate studies</t>
  </si>
  <si>
    <t>Income From research and Consultancy</t>
  </si>
  <si>
    <t>Income from Agricultural</t>
  </si>
  <si>
    <t>Expense Self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</si>
</sst>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name val="Calibri"/>
      <family val="2"/>
      <scheme val="minor"/>
    </font>
    <font>
      <b/>
      <u val="singleAccounting"/>
      <sz val="10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 val="singleAccounting"/>
      <sz val="10"/>
      <color rgb="FFFF0000"/>
      <name val="Calibri"/>
      <family val="2"/>
    </font>
    <font>
      <b/>
      <sz val="12"/>
      <color rgb="FFFF0000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i/>
      <sz val="11"/>
      <color rgb="FF000000"/>
      <name val="Aptos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9">
    <xf numFmtId="0" fontId="0" fillId="0" borderId="0" xfId="0"/>
    <xf numFmtId="0" fontId="2" fillId="0" borderId="0" xfId="0" applyFont="1"/>
    <xf numFmtId="9" fontId="0" fillId="0" borderId="0" xfId="2" applyFont="1"/>
    <xf numFmtId="0" fontId="4" fillId="0" borderId="0" xfId="0" applyFont="1"/>
    <xf numFmtId="0" fontId="0" fillId="2" borderId="0" xfId="0" applyFill="1"/>
    <xf numFmtId="164" fontId="0" fillId="2" borderId="0" xfId="0" applyNumberFormat="1" applyFill="1"/>
    <xf numFmtId="0" fontId="5" fillId="0" borderId="4" xfId="0" quotePrefix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0" xfId="0" applyFill="1"/>
    <xf numFmtId="164" fontId="2" fillId="5" borderId="3" xfId="1" applyNumberFormat="1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164" fontId="2" fillId="0" borderId="1" xfId="1" applyNumberFormat="1" applyFont="1" applyBorder="1"/>
    <xf numFmtId="0" fontId="13" fillId="0" borderId="1" xfId="0" applyFont="1" applyBorder="1"/>
    <xf numFmtId="164" fontId="14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2" fillId="6" borderId="1" xfId="0" applyFont="1" applyFill="1" applyBorder="1"/>
    <xf numFmtId="0" fontId="0" fillId="7" borderId="1" xfId="0" applyFill="1" applyBorder="1"/>
    <xf numFmtId="0" fontId="2" fillId="7" borderId="1" xfId="0" applyFont="1" applyFill="1" applyBorder="1"/>
    <xf numFmtId="164" fontId="2" fillId="7" borderId="1" xfId="1" applyNumberFormat="1" applyFont="1" applyFill="1" applyBorder="1"/>
    <xf numFmtId="0" fontId="7" fillId="7" borderId="1" xfId="0" applyFont="1" applyFill="1" applyBorder="1" applyAlignment="1">
      <alignment horizontal="left" vertical="center"/>
    </xf>
    <xf numFmtId="164" fontId="12" fillId="0" borderId="1" xfId="1" applyNumberFormat="1" applyFont="1" applyBorder="1"/>
    <xf numFmtId="164" fontId="13" fillId="0" borderId="1" xfId="1" applyNumberFormat="1" applyFont="1" applyBorder="1"/>
    <xf numFmtId="164" fontId="0" fillId="7" borderId="1" xfId="1" applyNumberFormat="1" applyFont="1" applyFill="1" applyBorder="1"/>
    <xf numFmtId="164" fontId="2" fillId="6" borderId="1" xfId="1" applyNumberFormat="1" applyFont="1" applyFill="1" applyBorder="1"/>
    <xf numFmtId="0" fontId="6" fillId="0" borderId="1" xfId="0" applyFont="1" applyBorder="1" applyAlignment="1">
      <alignment vertical="center"/>
    </xf>
    <xf numFmtId="164" fontId="2" fillId="0" borderId="1" xfId="1" applyNumberFormat="1" applyFont="1" applyFill="1" applyBorder="1"/>
    <xf numFmtId="164" fontId="0" fillId="0" borderId="1" xfId="1" applyNumberFormat="1" applyFont="1" applyFill="1" applyBorder="1"/>
    <xf numFmtId="0" fontId="2" fillId="0" borderId="1" xfId="0" applyFont="1" applyBorder="1" applyAlignment="1">
      <alignment wrapText="1"/>
    </xf>
    <xf numFmtId="164" fontId="2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vertical="center"/>
    </xf>
    <xf numFmtId="164" fontId="7" fillId="0" borderId="1" xfId="1" applyNumberFormat="1" applyFont="1" applyFill="1" applyBorder="1" applyAlignment="1">
      <alignment horizontal="left" vertical="center"/>
    </xf>
    <xf numFmtId="164" fontId="6" fillId="0" borderId="1" xfId="1" applyNumberFormat="1" applyFont="1" applyFill="1" applyBorder="1" applyAlignment="1">
      <alignment vertical="center"/>
    </xf>
    <xf numFmtId="164" fontId="13" fillId="0" borderId="1" xfId="1" applyNumberFormat="1" applyFont="1" applyFill="1" applyBorder="1"/>
    <xf numFmtId="164" fontId="1" fillId="0" borderId="1" xfId="1" applyNumberFormat="1" applyFont="1" applyBorder="1"/>
    <xf numFmtId="0" fontId="0" fillId="8" borderId="1" xfId="0" applyFill="1" applyBorder="1" applyAlignment="1">
      <alignment horizontal="center"/>
    </xf>
    <xf numFmtId="164" fontId="2" fillId="8" borderId="1" xfId="1" applyNumberFormat="1" applyFont="1" applyFill="1" applyBorder="1"/>
    <xf numFmtId="164" fontId="0" fillId="8" borderId="1" xfId="1" applyNumberFormat="1" applyFont="1" applyFill="1" applyBorder="1"/>
    <xf numFmtId="0" fontId="0" fillId="8" borderId="0" xfId="0" applyFill="1"/>
    <xf numFmtId="164" fontId="6" fillId="8" borderId="1" xfId="1" applyNumberFormat="1" applyFont="1" applyFill="1" applyBorder="1" applyAlignment="1">
      <alignment vertical="center"/>
    </xf>
    <xf numFmtId="164" fontId="0" fillId="8" borderId="0" xfId="1" applyNumberFormat="1" applyFont="1" applyFill="1"/>
    <xf numFmtId="164" fontId="12" fillId="8" borderId="1" xfId="1" applyNumberFormat="1" applyFont="1" applyFill="1" applyBorder="1"/>
    <xf numFmtId="164" fontId="13" fillId="8" borderId="1" xfId="1" applyNumberFormat="1" applyFont="1" applyFill="1" applyBorder="1"/>
    <xf numFmtId="0" fontId="2" fillId="9" borderId="1" xfId="0" applyFont="1" applyFill="1" applyBorder="1" applyAlignment="1">
      <alignment horizontal="center"/>
    </xf>
    <xf numFmtId="164" fontId="2" fillId="9" borderId="1" xfId="1" applyNumberFormat="1" applyFont="1" applyFill="1" applyBorder="1"/>
    <xf numFmtId="164" fontId="0" fillId="9" borderId="1" xfId="1" applyNumberFormat="1" applyFont="1" applyFill="1" applyBorder="1"/>
    <xf numFmtId="0" fontId="0" fillId="0" borderId="1" xfId="0" applyBorder="1" applyAlignment="1">
      <alignment horizontal="center"/>
    </xf>
    <xf numFmtId="0" fontId="2" fillId="9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164" fontId="12" fillId="6" borderId="1" xfId="1" applyNumberFormat="1" applyFont="1" applyFill="1" applyBorder="1"/>
    <xf numFmtId="164" fontId="0" fillId="6" borderId="1" xfId="1" applyNumberFormat="1" applyFont="1" applyFill="1" applyBorder="1"/>
    <xf numFmtId="164" fontId="2" fillId="6" borderId="7" xfId="1" applyNumberFormat="1" applyFont="1" applyFill="1" applyBorder="1"/>
    <xf numFmtId="164" fontId="2" fillId="0" borderId="0" xfId="1" applyNumberFormat="1" applyFont="1" applyFill="1" applyBorder="1"/>
    <xf numFmtId="164" fontId="2" fillId="10" borderId="1" xfId="1" applyNumberFormat="1" applyFont="1" applyFill="1" applyBorder="1" applyAlignment="1">
      <alignment horizontal="left"/>
    </xf>
    <xf numFmtId="164" fontId="2" fillId="10" borderId="1" xfId="1" applyNumberFormat="1" applyFont="1" applyFill="1" applyBorder="1"/>
    <xf numFmtId="164" fontId="13" fillId="10" borderId="1" xfId="1" applyNumberFormat="1" applyFont="1" applyFill="1" applyBorder="1"/>
    <xf numFmtId="164" fontId="14" fillId="10" borderId="1" xfId="1" applyNumberFormat="1" applyFont="1" applyFill="1" applyBorder="1"/>
    <xf numFmtId="164" fontId="0" fillId="8" borderId="1" xfId="1" applyNumberFormat="1" applyFont="1" applyFill="1" applyBorder="1" applyAlignment="1">
      <alignment wrapText="1"/>
    </xf>
    <xf numFmtId="164" fontId="12" fillId="9" borderId="1" xfId="1" applyNumberFormat="1" applyFont="1" applyFill="1" applyBorder="1"/>
    <xf numFmtId="164" fontId="2" fillId="0" borderId="1" xfId="1" applyNumberFormat="1" applyFont="1" applyBorder="1" applyAlignment="1">
      <alignment horizontal="left" wrapText="1"/>
    </xf>
    <xf numFmtId="164" fontId="0" fillId="0" borderId="0" xfId="0" applyNumberFormat="1"/>
    <xf numFmtId="164" fontId="8" fillId="0" borderId="1" xfId="1" applyNumberFormat="1" applyFont="1" applyBorder="1"/>
    <xf numFmtId="164" fontId="4" fillId="8" borderId="1" xfId="1" applyNumberFormat="1" applyFont="1" applyFill="1" applyBorder="1"/>
    <xf numFmtId="164" fontId="8" fillId="8" borderId="1" xfId="1" applyNumberFormat="1" applyFont="1" applyFill="1" applyBorder="1"/>
    <xf numFmtId="164" fontId="4" fillId="9" borderId="1" xfId="1" applyNumberFormat="1" applyFont="1" applyFill="1" applyBorder="1"/>
    <xf numFmtId="164" fontId="8" fillId="9" borderId="1" xfId="1" applyNumberFormat="1" applyFont="1" applyFill="1" applyBorder="1"/>
    <xf numFmtId="164" fontId="4" fillId="0" borderId="1" xfId="1" applyNumberFormat="1" applyFont="1" applyBorder="1"/>
    <xf numFmtId="164" fontId="4" fillId="0" borderId="1" xfId="1" applyNumberFormat="1" applyFont="1" applyFill="1" applyBorder="1"/>
    <xf numFmtId="164" fontId="16" fillId="8" borderId="1" xfId="1" applyNumberFormat="1" applyFont="1" applyFill="1" applyBorder="1"/>
    <xf numFmtId="164" fontId="16" fillId="0" borderId="1" xfId="1" applyNumberFormat="1" applyFont="1" applyFill="1" applyBorder="1"/>
    <xf numFmtId="0" fontId="12" fillId="0" borderId="0" xfId="0" applyFont="1"/>
    <xf numFmtId="164" fontId="12" fillId="0" borderId="1" xfId="1" applyNumberFormat="1" applyFont="1" applyFill="1" applyBorder="1"/>
    <xf numFmtId="164" fontId="0" fillId="0" borderId="0" xfId="1" applyNumberFormat="1" applyFont="1" applyFill="1"/>
    <xf numFmtId="164" fontId="2" fillId="0" borderId="0" xfId="0" applyNumberFormat="1" applyFont="1"/>
    <xf numFmtId="0" fontId="0" fillId="4" borderId="5" xfId="0" applyFill="1" applyBorder="1"/>
    <xf numFmtId="0" fontId="5" fillId="0" borderId="3" xfId="0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2" fillId="0" borderId="3" xfId="1" applyNumberFormat="1" applyFont="1" applyFill="1" applyBorder="1" applyAlignment="1">
      <alignment vertical="center"/>
    </xf>
    <xf numFmtId="164" fontId="1" fillId="0" borderId="0" xfId="1" applyNumberFormat="1" applyFont="1" applyFill="1" applyBorder="1"/>
    <xf numFmtId="164" fontId="0" fillId="0" borderId="0" xfId="1" applyNumberFormat="1" applyFont="1" applyFill="1" applyBorder="1"/>
    <xf numFmtId="164" fontId="2" fillId="0" borderId="0" xfId="1" applyNumberFormat="1" applyFont="1" applyFill="1" applyBorder="1" applyAlignment="1">
      <alignment vertical="center"/>
    </xf>
    <xf numFmtId="0" fontId="2" fillId="4" borderId="5" xfId="0" applyFont="1" applyFill="1" applyBorder="1"/>
    <xf numFmtId="0" fontId="2" fillId="4" borderId="0" xfId="0" applyFont="1" applyFill="1"/>
    <xf numFmtId="164" fontId="2" fillId="0" borderId="0" xfId="1" applyNumberFormat="1" applyFont="1" applyFill="1"/>
    <xf numFmtId="164" fontId="1" fillId="0" borderId="0" xfId="1" applyNumberFormat="1" applyFont="1" applyFill="1" applyBorder="1" applyAlignment="1">
      <alignment vertical="center"/>
    </xf>
    <xf numFmtId="164" fontId="1" fillId="0" borderId="3" xfId="1" applyNumberFormat="1" applyFont="1" applyFill="1" applyBorder="1"/>
    <xf numFmtId="164" fontId="2" fillId="0" borderId="3" xfId="1" applyNumberFormat="1" applyFont="1" applyFill="1" applyBorder="1"/>
    <xf numFmtId="43" fontId="0" fillId="0" borderId="0" xfId="0" applyNumberFormat="1"/>
    <xf numFmtId="164" fontId="1" fillId="12" borderId="3" xfId="1" applyNumberFormat="1" applyFont="1" applyFill="1" applyBorder="1"/>
    <xf numFmtId="164" fontId="0" fillId="0" borderId="0" xfId="1" applyNumberFormat="1" applyFont="1"/>
    <xf numFmtId="17" fontId="0" fillId="0" borderId="0" xfId="0" applyNumberFormat="1"/>
    <xf numFmtId="0" fontId="22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164" fontId="2" fillId="0" borderId="3" xfId="1" applyNumberFormat="1" applyFont="1" applyBorder="1"/>
    <xf numFmtId="164" fontId="2" fillId="0" borderId="0" xfId="1" applyNumberFormat="1" applyFont="1" applyBorder="1"/>
    <xf numFmtId="164" fontId="1" fillId="7" borderId="3" xfId="1" applyNumberFormat="1" applyFont="1" applyFill="1" applyBorder="1"/>
    <xf numFmtId="164" fontId="2" fillId="0" borderId="0" xfId="1" applyNumberFormat="1" applyFont="1"/>
    <xf numFmtId="41" fontId="25" fillId="0" borderId="1" xfId="3" applyFont="1" applyBorder="1"/>
    <xf numFmtId="164" fontId="26" fillId="0" borderId="1" xfId="1" applyNumberFormat="1" applyFont="1" applyBorder="1"/>
    <xf numFmtId="41" fontId="26" fillId="0" borderId="1" xfId="0" applyNumberFormat="1" applyFont="1" applyBorder="1"/>
    <xf numFmtId="0" fontId="27" fillId="0" borderId="1" xfId="0" applyFont="1" applyBorder="1" applyAlignment="1">
      <alignment horizontal="left"/>
    </xf>
    <xf numFmtId="0" fontId="0" fillId="9" borderId="0" xfId="0" applyFill="1"/>
    <xf numFmtId="10" fontId="0" fillId="0" borderId="0" xfId="0" applyNumberFormat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wrapText="1"/>
    </xf>
    <xf numFmtId="0" fontId="7" fillId="0" borderId="3" xfId="0" applyFont="1" applyBorder="1" applyAlignment="1">
      <alignment horizontal="left" wrapText="1"/>
    </xf>
    <xf numFmtId="0" fontId="3" fillId="4" borderId="8" xfId="0" applyFont="1" applyFill="1" applyBorder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17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19" fillId="0" borderId="0" xfId="0" applyFont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8" fillId="0" borderId="3" xfId="0" applyFont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21" fillId="0" borderId="9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20" fillId="11" borderId="2" xfId="0" applyFont="1" applyFill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7" fillId="0" borderId="9" xfId="0" applyFont="1" applyBorder="1" applyAlignment="1">
      <alignment wrapText="1"/>
    </xf>
    <xf numFmtId="49" fontId="18" fillId="0" borderId="2" xfId="0" applyNumberFormat="1" applyFont="1" applyBorder="1" applyAlignment="1">
      <alignment wrapText="1"/>
    </xf>
    <xf numFmtId="49" fontId="18" fillId="0" borderId="9" xfId="0" applyNumberFormat="1" applyFont="1" applyBorder="1" applyAlignment="1">
      <alignment wrapText="1"/>
    </xf>
    <xf numFmtId="0" fontId="18" fillId="0" borderId="2" xfId="0" applyFont="1" applyBorder="1" applyAlignment="1">
      <alignment vertical="center" wrapText="1"/>
    </xf>
    <xf numFmtId="0" fontId="18" fillId="6" borderId="8" xfId="0" applyFont="1" applyFill="1" applyBorder="1" applyAlignment="1">
      <alignment vertical="center" wrapText="1"/>
    </xf>
    <xf numFmtId="0" fontId="18" fillId="7" borderId="2" xfId="0" applyFont="1" applyFill="1" applyBorder="1" applyAlignment="1">
      <alignment vertical="center" wrapText="1"/>
    </xf>
    <xf numFmtId="49" fontId="17" fillId="0" borderId="9" xfId="0" applyNumberFormat="1" applyFont="1" applyBorder="1" applyAlignment="1">
      <alignment wrapText="1"/>
    </xf>
    <xf numFmtId="0" fontId="18" fillId="0" borderId="2" xfId="0" applyFont="1" applyBorder="1" applyAlignment="1">
      <alignment wrapText="1"/>
    </xf>
    <xf numFmtId="164" fontId="20" fillId="0" borderId="9" xfId="1" applyNumberFormat="1" applyFont="1" applyBorder="1" applyAlignment="1">
      <alignment vertical="center" wrapText="1"/>
    </xf>
    <xf numFmtId="164" fontId="19" fillId="0" borderId="9" xfId="1" applyNumberFormat="1" applyFont="1" applyBorder="1" applyAlignment="1">
      <alignment vertical="center" wrapText="1"/>
    </xf>
    <xf numFmtId="164" fontId="20" fillId="0" borderId="2" xfId="1" applyNumberFormat="1" applyFont="1" applyBorder="1" applyAlignment="1">
      <alignment vertical="center" wrapText="1"/>
    </xf>
    <xf numFmtId="164" fontId="19" fillId="0" borderId="9" xfId="1" applyNumberFormat="1" applyFont="1" applyFill="1" applyBorder="1" applyAlignment="1">
      <alignment vertical="center" wrapText="1"/>
    </xf>
    <xf numFmtId="0" fontId="0" fillId="0" borderId="9" xfId="0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164" fontId="0" fillId="6" borderId="3" xfId="1" applyNumberFormat="1" applyFont="1" applyFill="1" applyBorder="1"/>
    <xf numFmtId="0" fontId="0" fillId="6" borderId="9" xfId="0" applyFill="1" applyBorder="1" applyAlignment="1">
      <alignment wrapText="1"/>
    </xf>
    <xf numFmtId="164" fontId="0" fillId="6" borderId="0" xfId="1" applyNumberFormat="1" applyFont="1" applyFill="1"/>
    <xf numFmtId="164" fontId="2" fillId="6" borderId="3" xfId="1" applyNumberFormat="1" applyFont="1" applyFill="1" applyBorder="1"/>
    <xf numFmtId="164" fontId="2" fillId="6" borderId="0" xfId="1" applyNumberFormat="1" applyFont="1" applyFill="1"/>
    <xf numFmtId="164" fontId="2" fillId="7" borderId="3" xfId="1" applyNumberFormat="1" applyFont="1" applyFill="1" applyBorder="1"/>
    <xf numFmtId="164" fontId="0" fillId="7" borderId="3" xfId="0" applyNumberFormat="1" applyFill="1" applyBorder="1"/>
    <xf numFmtId="164" fontId="20" fillId="11" borderId="2" xfId="1" applyNumberFormat="1" applyFont="1" applyFill="1" applyBorder="1" applyAlignment="1">
      <alignment vertical="center" wrapText="1"/>
    </xf>
    <xf numFmtId="164" fontId="2" fillId="0" borderId="10" xfId="1" applyNumberFormat="1" applyFont="1" applyBorder="1"/>
    <xf numFmtId="164" fontId="0" fillId="8" borderId="10" xfId="1" applyNumberFormat="1" applyFont="1" applyFill="1" applyBorder="1"/>
    <xf numFmtId="164" fontId="2" fillId="8" borderId="10" xfId="1" applyNumberFormat="1" applyFont="1" applyFill="1" applyBorder="1"/>
    <xf numFmtId="164" fontId="0" fillId="9" borderId="10" xfId="1" applyNumberFormat="1" applyFont="1" applyFill="1" applyBorder="1"/>
    <xf numFmtId="164" fontId="2" fillId="9" borderId="10" xfId="1" applyNumberFormat="1" applyFont="1" applyFill="1" applyBorder="1"/>
    <xf numFmtId="164" fontId="1" fillId="0" borderId="10" xfId="1" applyNumberFormat="1" applyFont="1" applyBorder="1"/>
    <xf numFmtId="164" fontId="0" fillId="0" borderId="10" xfId="1" applyNumberFormat="1" applyFont="1" applyBorder="1"/>
    <xf numFmtId="164" fontId="0" fillId="0" borderId="10" xfId="1" applyNumberFormat="1" applyFont="1" applyFill="1" applyBorder="1"/>
    <xf numFmtId="164" fontId="14" fillId="8" borderId="1" xfId="1" applyNumberFormat="1" applyFont="1" applyFill="1" applyBorder="1"/>
    <xf numFmtId="164" fontId="14" fillId="0" borderId="1" xfId="1" applyNumberFormat="1" applyFont="1" applyFill="1" applyBorder="1"/>
    <xf numFmtId="0" fontId="2" fillId="8" borderId="1" xfId="0" applyFont="1" applyFill="1" applyBorder="1"/>
    <xf numFmtId="0" fontId="28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0" fillId="2" borderId="0" xfId="0" applyFill="1" applyAlignment="1">
      <alignment wrapText="1"/>
    </xf>
    <xf numFmtId="9" fontId="1" fillId="0" borderId="0" xfId="2" applyFont="1"/>
    <xf numFmtId="164" fontId="1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164" fontId="3" fillId="0" borderId="0" xfId="1" applyNumberFormat="1" applyFont="1" applyAlignment="1">
      <alignment horizontal="center"/>
    </xf>
    <xf numFmtId="9" fontId="3" fillId="0" borderId="0" xfId="2" applyFont="1" applyAlignment="1">
      <alignment horizontal="center"/>
    </xf>
    <xf numFmtId="0" fontId="5" fillId="3" borderId="0" xfId="0" applyFont="1" applyFill="1"/>
    <xf numFmtId="0" fontId="28" fillId="0" borderId="0" xfId="0" applyFont="1" applyAlignment="1">
      <alignment horizontal="center"/>
    </xf>
    <xf numFmtId="165" fontId="3" fillId="0" borderId="0" xfId="2" applyNumberFormat="1" applyFont="1" applyAlignment="1">
      <alignment horizontal="center"/>
    </xf>
    <xf numFmtId="0" fontId="7" fillId="0" borderId="2" xfId="0" applyFont="1" applyBorder="1" applyAlignment="1">
      <alignment horizontal="left" wrapText="1"/>
    </xf>
    <xf numFmtId="164" fontId="3" fillId="0" borderId="6" xfId="1" applyNumberFormat="1" applyFont="1" applyBorder="1" applyAlignment="1">
      <alignment horizontal="center" vertical="center"/>
    </xf>
    <xf numFmtId="0" fontId="2" fillId="4" borderId="11" xfId="0" applyFont="1" applyFill="1" applyBorder="1"/>
    <xf numFmtId="0" fontId="2" fillId="4" borderId="9" xfId="0" applyFont="1" applyFill="1" applyBorder="1" applyAlignment="1">
      <alignment horizontal="left" wrapText="1"/>
    </xf>
    <xf numFmtId="0" fontId="2" fillId="4" borderId="12" xfId="0" applyFont="1" applyFill="1" applyBorder="1"/>
    <xf numFmtId="164" fontId="2" fillId="0" borderId="12" xfId="1" applyNumberFormat="1" applyFont="1" applyFill="1" applyBorder="1"/>
    <xf numFmtId="164" fontId="2" fillId="0" borderId="12" xfId="1" applyNumberFormat="1" applyFont="1" applyBorder="1"/>
    <xf numFmtId="0" fontId="2" fillId="0" borderId="9" xfId="0" applyFont="1" applyBorder="1" applyAlignment="1">
      <alignment horizontal="left" wrapText="1"/>
    </xf>
    <xf numFmtId="164" fontId="2" fillId="0" borderId="6" xfId="1" applyNumberFormat="1" applyFont="1" applyBorder="1"/>
    <xf numFmtId="0" fontId="4" fillId="0" borderId="9" xfId="0" applyFont="1" applyBorder="1" applyAlignment="1">
      <alignment wrapText="1"/>
    </xf>
    <xf numFmtId="164" fontId="0" fillId="0" borderId="0" xfId="1" applyNumberFormat="1" applyFont="1" applyBorder="1"/>
    <xf numFmtId="0" fontId="8" fillId="0" borderId="2" xfId="0" applyFont="1" applyBorder="1" applyAlignment="1">
      <alignment wrapText="1"/>
    </xf>
    <xf numFmtId="164" fontId="2" fillId="0" borderId="6" xfId="1" applyNumberFormat="1" applyFont="1" applyFill="1" applyBorder="1"/>
    <xf numFmtId="164" fontId="2" fillId="0" borderId="12" xfId="1" applyNumberFormat="1" applyFont="1" applyFill="1" applyBorder="1" applyAlignment="1">
      <alignment vertical="center"/>
    </xf>
    <xf numFmtId="164" fontId="1" fillId="0" borderId="6" xfId="1" applyNumberFormat="1" applyFont="1" applyFill="1" applyBorder="1"/>
    <xf numFmtId="164" fontId="1" fillId="12" borderId="6" xfId="1" applyNumberFormat="1" applyFont="1" applyFill="1" applyBorder="1"/>
    <xf numFmtId="164" fontId="1" fillId="7" borderId="6" xfId="1" applyNumberFormat="1" applyFont="1" applyFill="1" applyBorder="1"/>
    <xf numFmtId="164" fontId="2" fillId="0" borderId="6" xfId="1" applyNumberFormat="1" applyFont="1" applyFill="1" applyBorder="1" applyAlignment="1">
      <alignment vertical="center"/>
    </xf>
    <xf numFmtId="164" fontId="2" fillId="6" borderId="6" xfId="1" applyNumberFormat="1" applyFont="1" applyFill="1" applyBorder="1"/>
    <xf numFmtId="164" fontId="0" fillId="6" borderId="0" xfId="1" applyNumberFormat="1" applyFont="1" applyFill="1" applyBorder="1"/>
    <xf numFmtId="164" fontId="2" fillId="6" borderId="12" xfId="1" applyNumberFormat="1" applyFont="1" applyFill="1" applyBorder="1"/>
    <xf numFmtId="0" fontId="2" fillId="0" borderId="12" xfId="0" applyFont="1" applyBorder="1"/>
    <xf numFmtId="164" fontId="2" fillId="7" borderId="6" xfId="1" applyNumberFormat="1" applyFont="1" applyFill="1" applyBorder="1"/>
    <xf numFmtId="0" fontId="0" fillId="0" borderId="13" xfId="0" applyBorder="1" applyAlignment="1">
      <alignment wrapText="1"/>
    </xf>
    <xf numFmtId="0" fontId="5" fillId="0" borderId="14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left" wrapText="1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4" fontId="20" fillId="0" borderId="2" xfId="1" applyNumberFormat="1" applyFont="1" applyFill="1" applyBorder="1" applyAlignment="1">
      <alignment vertical="center" wrapText="1"/>
    </xf>
    <xf numFmtId="164" fontId="20" fillId="0" borderId="1" xfId="1" applyNumberFormat="1" applyFont="1" applyFill="1" applyBorder="1" applyAlignment="1">
      <alignment vertical="center" wrapText="1"/>
    </xf>
    <xf numFmtId="0" fontId="2" fillId="11" borderId="2" xfId="0" applyFont="1" applyFill="1" applyBorder="1" applyAlignment="1">
      <alignment wrapText="1"/>
    </xf>
    <xf numFmtId="164" fontId="2" fillId="11" borderId="3" xfId="1" applyNumberFormat="1" applyFont="1" applyFill="1" applyBorder="1" applyAlignment="1">
      <alignment vertical="center"/>
    </xf>
    <xf numFmtId="164" fontId="2" fillId="11" borderId="6" xfId="1" applyNumberFormat="1" applyFont="1" applyFill="1" applyBorder="1" applyAlignment="1">
      <alignment vertical="center"/>
    </xf>
    <xf numFmtId="164" fontId="1" fillId="0" borderId="0" xfId="1" applyNumberFormat="1" applyFont="1" applyAlignment="1"/>
    <xf numFmtId="164" fontId="3" fillId="0" borderId="0" xfId="1" applyNumberFormat="1" applyFont="1" applyAlignment="1"/>
    <xf numFmtId="0" fontId="22" fillId="0" borderId="0" xfId="0" applyFont="1" applyAlignment="1">
      <alignment horizontal="right"/>
    </xf>
    <xf numFmtId="49" fontId="18" fillId="0" borderId="13" xfId="0" applyNumberFormat="1" applyFont="1" applyBorder="1" applyAlignment="1">
      <alignment wrapText="1"/>
    </xf>
    <xf numFmtId="164" fontId="1" fillId="0" borderId="4" xfId="1" applyNumberFormat="1" applyFont="1" applyFill="1" applyBorder="1"/>
    <xf numFmtId="164" fontId="2" fillId="0" borderId="14" xfId="1" applyNumberFormat="1" applyFont="1" applyBorder="1"/>
    <xf numFmtId="0" fontId="20" fillId="0" borderId="13" xfId="0" applyFont="1" applyBorder="1" applyAlignment="1">
      <alignment vertical="center" wrapText="1"/>
    </xf>
    <xf numFmtId="164" fontId="0" fillId="0" borderId="4" xfId="1" applyNumberFormat="1" applyFont="1" applyFill="1" applyBorder="1"/>
    <xf numFmtId="164" fontId="2" fillId="0" borderId="14" xfId="1" applyNumberFormat="1" applyFont="1" applyFill="1" applyBorder="1"/>
    <xf numFmtId="0" fontId="17" fillId="0" borderId="8" xfId="0" applyFont="1" applyBorder="1" applyAlignment="1">
      <alignment vertical="center" wrapText="1"/>
    </xf>
    <xf numFmtId="164" fontId="1" fillId="0" borderId="5" xfId="1" applyNumberFormat="1" applyFont="1" applyFill="1" applyBorder="1"/>
    <xf numFmtId="164" fontId="2" fillId="0" borderId="11" xfId="1" applyNumberFormat="1" applyFont="1" applyFill="1" applyBorder="1"/>
    <xf numFmtId="0" fontId="30" fillId="0" borderId="0" xfId="0" applyFont="1"/>
    <xf numFmtId="164" fontId="30" fillId="0" borderId="0" xfId="1" applyNumberFormat="1" applyFont="1"/>
    <xf numFmtId="0" fontId="5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4" fontId="2" fillId="0" borderId="2" xfId="1" applyNumberFormat="1" applyFont="1" applyBorder="1" applyAlignment="1">
      <alignment horizontal="center" wrapText="1"/>
    </xf>
    <xf numFmtId="164" fontId="2" fillId="0" borderId="3" xfId="1" applyNumberFormat="1" applyFont="1" applyBorder="1" applyAlignment="1">
      <alignment horizontal="center" wrapText="1"/>
    </xf>
    <xf numFmtId="164" fontId="2" fillId="0" borderId="6" xfId="1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left"/>
    </xf>
    <xf numFmtId="0" fontId="2" fillId="9" borderId="3" xfId="0" applyFont="1" applyFill="1" applyBorder="1" applyAlignment="1">
      <alignment horizontal="left"/>
    </xf>
    <xf numFmtId="0" fontId="2" fillId="9" borderId="6" xfId="0" applyFont="1" applyFill="1" applyBorder="1" applyAlignment="1">
      <alignment horizontal="left"/>
    </xf>
    <xf numFmtId="164" fontId="2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vertical="center" wrapText="1"/>
    </xf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765525</xdr:colOff>
      <xdr:row>0</xdr:row>
      <xdr:rowOff>0</xdr:rowOff>
    </xdr:from>
    <xdr:to>
      <xdr:col>10</xdr:col>
      <xdr:colOff>700744</xdr:colOff>
      <xdr:row>5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A407E-D42F-5EC1-8117-971FB2461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98331" y="0"/>
          <a:ext cx="8099779" cy="9489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C140"/>
  <sheetViews>
    <sheetView topLeftCell="A29" zoomScale="110" zoomScaleNormal="110" workbookViewId="0">
      <selection activeCell="A50" sqref="A50"/>
    </sheetView>
  </sheetViews>
  <sheetFormatPr defaultRowHeight="14.5"/>
  <cols>
    <col min="1" max="1" width="40.54296875" style="106" bestFit="1" customWidth="1"/>
    <col min="2" max="2" width="16.453125" customWidth="1"/>
    <col min="3" max="3" width="13.6328125" bestFit="1" customWidth="1"/>
    <col min="4" max="4" width="12.36328125" customWidth="1"/>
    <col min="5" max="8" width="12.54296875" bestFit="1" customWidth="1"/>
    <col min="9" max="13" width="12.1796875" customWidth="1"/>
    <col min="14" max="14" width="15.54296875" style="1" bestFit="1" customWidth="1"/>
  </cols>
  <sheetData>
    <row r="7" spans="1:17">
      <c r="A7" s="105"/>
      <c r="B7" s="5"/>
      <c r="C7" s="5"/>
      <c r="D7" s="5"/>
      <c r="E7" s="5"/>
      <c r="F7" s="5"/>
      <c r="G7" s="5"/>
      <c r="H7" s="5"/>
      <c r="I7" s="5"/>
      <c r="J7" s="5"/>
      <c r="K7" s="4"/>
      <c r="L7" s="2"/>
    </row>
    <row r="8" spans="1:17" ht="15.5">
      <c r="B8" s="221" t="s">
        <v>294</v>
      </c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2"/>
      <c r="O8" s="222"/>
      <c r="P8" s="222"/>
      <c r="Q8" s="222"/>
    </row>
    <row r="9" spans="1:17"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261</v>
      </c>
    </row>
    <row r="10" spans="1:17">
      <c r="A10" s="107"/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 t="s">
        <v>0</v>
      </c>
      <c r="M10" s="7" t="s">
        <v>0</v>
      </c>
      <c r="N10" s="7" t="s">
        <v>0</v>
      </c>
    </row>
    <row r="11" spans="1:17">
      <c r="A11" s="108" t="s">
        <v>104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7">
        <f>'INCOME DETAILS'!Q121</f>
        <v>4692</v>
      </c>
    </row>
    <row r="12" spans="1:17">
      <c r="A12" s="109" t="s">
        <v>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82"/>
    </row>
    <row r="13" spans="1:17">
      <c r="A13" s="110" t="s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3"/>
    </row>
    <row r="14" spans="1:17">
      <c r="A14" s="111" t="s">
        <v>89</v>
      </c>
      <c r="B14" s="73">
        <f>N14/12</f>
        <v>5208333.333333333</v>
      </c>
      <c r="C14" s="73">
        <v>5208333.333333333</v>
      </c>
      <c r="D14" s="73">
        <v>5208333.333333333</v>
      </c>
      <c r="E14" s="73">
        <v>5208333.333333333</v>
      </c>
      <c r="F14" s="73">
        <v>5208333.333333333</v>
      </c>
      <c r="G14" s="73">
        <v>5208333.333333333</v>
      </c>
      <c r="H14" s="73">
        <v>5208333.333333333</v>
      </c>
      <c r="I14" s="73">
        <v>5208333.333333333</v>
      </c>
      <c r="J14" s="73">
        <v>5208333.333333333</v>
      </c>
      <c r="K14" s="73">
        <v>5208333.333333333</v>
      </c>
      <c r="L14" s="73">
        <v>5208333.333333333</v>
      </c>
      <c r="M14" s="73">
        <v>5208333.333333333</v>
      </c>
      <c r="N14" s="84">
        <f>'INCOME DETAILS'!AB104</f>
        <v>62500000</v>
      </c>
    </row>
    <row r="15" spans="1:17">
      <c r="A15" s="111" t="s">
        <v>90</v>
      </c>
      <c r="B15" s="73">
        <f t="shared" ref="B15:B20" si="0">N15/12</f>
        <v>17343750</v>
      </c>
      <c r="C15" s="73">
        <v>17343750</v>
      </c>
      <c r="D15" s="73">
        <v>17343750</v>
      </c>
      <c r="E15" s="73">
        <v>17343750</v>
      </c>
      <c r="F15" s="73">
        <v>17343750</v>
      </c>
      <c r="G15" s="73">
        <v>17343750</v>
      </c>
      <c r="H15" s="73">
        <v>17343750</v>
      </c>
      <c r="I15" s="73">
        <v>17343750</v>
      </c>
      <c r="J15" s="73">
        <v>17343750</v>
      </c>
      <c r="K15" s="73">
        <v>17343750</v>
      </c>
      <c r="L15" s="73">
        <v>17343750</v>
      </c>
      <c r="M15" s="73">
        <v>17343750</v>
      </c>
      <c r="N15" s="84">
        <f>'INCOME DETAILS'!AB112</f>
        <v>208125000</v>
      </c>
    </row>
    <row r="16" spans="1:17">
      <c r="A16" s="111" t="s">
        <v>91</v>
      </c>
      <c r="B16" s="73">
        <f>N16/12</f>
        <v>54873750</v>
      </c>
      <c r="C16" s="73">
        <v>54873750</v>
      </c>
      <c r="D16" s="73">
        <v>54873750</v>
      </c>
      <c r="E16" s="73">
        <v>54873750</v>
      </c>
      <c r="F16" s="73">
        <v>54873750</v>
      </c>
      <c r="G16" s="73">
        <v>54873750</v>
      </c>
      <c r="H16" s="73">
        <v>54873750</v>
      </c>
      <c r="I16" s="73">
        <v>54873750</v>
      </c>
      <c r="J16" s="73">
        <v>54873750</v>
      </c>
      <c r="K16" s="73">
        <v>54873750</v>
      </c>
      <c r="L16" s="73">
        <v>54873750</v>
      </c>
      <c r="M16" s="73">
        <v>54873750</v>
      </c>
      <c r="N16" s="84">
        <f>'INCOME DETAILS'!AB55</f>
        <v>658485000</v>
      </c>
    </row>
    <row r="17" spans="1:14" ht="29">
      <c r="A17" s="111" t="s">
        <v>92</v>
      </c>
      <c r="B17" s="73">
        <f>N17/12</f>
        <v>2482666.6666666665</v>
      </c>
      <c r="C17" s="73">
        <v>2482666.6666666665</v>
      </c>
      <c r="D17" s="73">
        <v>2482666.6666666665</v>
      </c>
      <c r="E17" s="73">
        <v>2482666.6666666665</v>
      </c>
      <c r="F17" s="73">
        <v>2482666.6666666665</v>
      </c>
      <c r="G17" s="73">
        <v>2482666.6666666665</v>
      </c>
      <c r="H17" s="73">
        <v>2482666.6666666665</v>
      </c>
      <c r="I17" s="73">
        <v>2482666.6666666665</v>
      </c>
      <c r="J17" s="73">
        <v>2482666.6666666665</v>
      </c>
      <c r="K17" s="73">
        <v>2482666.6666666665</v>
      </c>
      <c r="L17" s="73">
        <v>2482666.6666666665</v>
      </c>
      <c r="M17" s="73">
        <v>2482666.6666666665</v>
      </c>
      <c r="N17" s="84">
        <f>'INCOME DETAILS'!AB117</f>
        <v>29792000</v>
      </c>
    </row>
    <row r="18" spans="1:14">
      <c r="A18" s="111" t="s">
        <v>93</v>
      </c>
      <c r="B18" s="73">
        <f t="shared" si="0"/>
        <v>17256666.666666668</v>
      </c>
      <c r="C18" s="73">
        <v>17256666.666666668</v>
      </c>
      <c r="D18" s="73">
        <v>17256666.666666668</v>
      </c>
      <c r="E18" s="73">
        <v>17256666.666666668</v>
      </c>
      <c r="F18" s="73">
        <v>17256666.666666668</v>
      </c>
      <c r="G18" s="73">
        <v>17256666.666666668</v>
      </c>
      <c r="H18" s="73">
        <v>17256666.666666668</v>
      </c>
      <c r="I18" s="73">
        <v>17256666.666666668</v>
      </c>
      <c r="J18" s="73">
        <v>17256666.666666668</v>
      </c>
      <c r="K18" s="73">
        <v>17256666.666666668</v>
      </c>
      <c r="L18" s="73">
        <v>17256666.666666668</v>
      </c>
      <c r="M18" s="73">
        <v>17256666.666666668</v>
      </c>
      <c r="N18" s="84">
        <f>'INCOME DETAILS'!AB96</f>
        <v>207080000</v>
      </c>
    </row>
    <row r="19" spans="1:14">
      <c r="A19" s="111" t="s">
        <v>94</v>
      </c>
      <c r="B19" s="73">
        <f t="shared" si="0"/>
        <v>7187500</v>
      </c>
      <c r="C19" s="73">
        <v>7187500</v>
      </c>
      <c r="D19" s="73">
        <v>7187500</v>
      </c>
      <c r="E19" s="73">
        <v>7187500</v>
      </c>
      <c r="F19" s="73">
        <v>7187500</v>
      </c>
      <c r="G19" s="73">
        <v>7187500</v>
      </c>
      <c r="H19" s="73">
        <v>7187500</v>
      </c>
      <c r="I19" s="73">
        <v>7187500</v>
      </c>
      <c r="J19" s="73">
        <v>7187500</v>
      </c>
      <c r="K19" s="73">
        <v>7187500</v>
      </c>
      <c r="L19" s="73">
        <v>7187500</v>
      </c>
      <c r="M19" s="73">
        <v>7187500</v>
      </c>
      <c r="N19" s="84">
        <f>'INCOME DETAILS'!AB21</f>
        <v>86250000</v>
      </c>
    </row>
    <row r="20" spans="1:14">
      <c r="A20" s="111" t="s">
        <v>95</v>
      </c>
      <c r="B20" s="73">
        <f t="shared" si="0"/>
        <v>4114583.3333333335</v>
      </c>
      <c r="C20" s="73">
        <v>4114583.3333333335</v>
      </c>
      <c r="D20" s="73">
        <v>4114583.3333333335</v>
      </c>
      <c r="E20" s="73">
        <v>4114583.3333333335</v>
      </c>
      <c r="F20" s="73">
        <v>4114583.3333333335</v>
      </c>
      <c r="G20" s="73">
        <v>4114583.3333333335</v>
      </c>
      <c r="H20" s="73">
        <v>4114583.3333333335</v>
      </c>
      <c r="I20" s="73">
        <v>4114583.3333333335</v>
      </c>
      <c r="J20" s="73">
        <v>4114583.3333333335</v>
      </c>
      <c r="K20" s="73">
        <v>4114583.3333333335</v>
      </c>
      <c r="L20" s="73">
        <v>4114583.3333333335</v>
      </c>
      <c r="M20" s="73">
        <v>4114583.3333333335</v>
      </c>
      <c r="N20" s="84">
        <f>'INCOME DETAILS'!AB29</f>
        <v>49375000</v>
      </c>
    </row>
    <row r="21" spans="1:14">
      <c r="A21" s="111" t="s">
        <v>103</v>
      </c>
      <c r="K21" s="61">
        <f>N21/3</f>
        <v>5000000</v>
      </c>
      <c r="L21" s="61">
        <v>5000000</v>
      </c>
      <c r="M21" s="61">
        <v>5000000</v>
      </c>
      <c r="N21" s="84">
        <f>'INCOME DETAILS'!AB120</f>
        <v>15000000</v>
      </c>
    </row>
    <row r="22" spans="1:14">
      <c r="A22" s="111" t="s">
        <v>97</v>
      </c>
      <c r="B22" s="73"/>
      <c r="N22" s="98"/>
    </row>
    <row r="23" spans="1:14">
      <c r="A23" s="111" t="s">
        <v>181</v>
      </c>
      <c r="B23" s="73">
        <f>N23/12</f>
        <v>23065416.666666668</v>
      </c>
      <c r="C23" s="73">
        <v>23065416.666666668</v>
      </c>
      <c r="D23" s="73">
        <v>23065416.666666668</v>
      </c>
      <c r="E23" s="73">
        <v>23065416.666666668</v>
      </c>
      <c r="F23" s="73">
        <v>23065416.666666668</v>
      </c>
      <c r="G23" s="73">
        <v>23065416.666666668</v>
      </c>
      <c r="H23" s="73">
        <v>23065416.666666668</v>
      </c>
      <c r="I23" s="73">
        <v>23065416.666666668</v>
      </c>
      <c r="J23" s="73">
        <v>23065416.666666668</v>
      </c>
      <c r="K23" s="73">
        <v>23065416.666666668</v>
      </c>
      <c r="L23" s="73">
        <v>23065416.666666668</v>
      </c>
      <c r="M23" s="73">
        <v>23065416.666666668</v>
      </c>
      <c r="N23" s="84">
        <v>276785000</v>
      </c>
    </row>
    <row r="24" spans="1:14">
      <c r="A24" s="111" t="s">
        <v>182</v>
      </c>
      <c r="B24" s="73"/>
      <c r="C24" s="73"/>
      <c r="D24" s="73"/>
      <c r="E24" s="73"/>
      <c r="F24" s="73"/>
      <c r="G24" s="73"/>
      <c r="H24" s="73"/>
      <c r="I24" s="73"/>
      <c r="J24" s="73"/>
      <c r="K24" s="73">
        <f>N24/3</f>
        <v>24625000</v>
      </c>
      <c r="L24" s="73">
        <v>24625000</v>
      </c>
      <c r="M24" s="73">
        <v>24625000</v>
      </c>
      <c r="N24" s="84">
        <f>'INCOME DETAILS'!S124</f>
        <v>73875000</v>
      </c>
    </row>
    <row r="25" spans="1:14">
      <c r="A25" s="111" t="s">
        <v>96</v>
      </c>
      <c r="B25" s="73">
        <f t="shared" ref="B25" si="1">N25/12</f>
        <v>32324777.777777772</v>
      </c>
      <c r="C25" s="73">
        <v>32324777.77777775</v>
      </c>
      <c r="D25" s="73">
        <v>32324777.77777775</v>
      </c>
      <c r="E25" s="73">
        <v>32324777.77777775</v>
      </c>
      <c r="F25" s="73">
        <v>32324777.77777775</v>
      </c>
      <c r="G25" s="73">
        <v>32324777.77777775</v>
      </c>
      <c r="H25" s="73">
        <v>32324777.77777775</v>
      </c>
      <c r="I25" s="73">
        <v>32324777.77777775</v>
      </c>
      <c r="J25" s="73">
        <v>32324777.77777775</v>
      </c>
      <c r="K25" s="73">
        <v>32324777.77777775</v>
      </c>
      <c r="L25" s="73">
        <v>32324777.77777775</v>
      </c>
      <c r="M25" s="73">
        <v>32324777.77777775</v>
      </c>
      <c r="N25" s="98">
        <f>'INCOME DETAILS'!F133</f>
        <v>387897333.33333325</v>
      </c>
    </row>
    <row r="26" spans="1:14">
      <c r="A26" s="111" t="s">
        <v>79</v>
      </c>
      <c r="F26" s="73">
        <f>N26/9</f>
        <v>6007962.222222222</v>
      </c>
      <c r="G26" s="73">
        <v>6007962.222222222</v>
      </c>
      <c r="H26" s="73">
        <v>6007962.222222222</v>
      </c>
      <c r="I26" s="73">
        <v>6007962.222222222</v>
      </c>
      <c r="J26" s="73">
        <v>6007962.222222222</v>
      </c>
      <c r="K26" s="73">
        <v>6007962.222222222</v>
      </c>
      <c r="L26" s="73">
        <v>6007962.222222222</v>
      </c>
      <c r="M26" s="73">
        <v>6007962.222222222</v>
      </c>
      <c r="N26" s="98">
        <f>'INCOME DETAILS'!E140</f>
        <v>54071660</v>
      </c>
    </row>
    <row r="27" spans="1:14">
      <c r="A27" s="112" t="s">
        <v>98</v>
      </c>
      <c r="B27" s="74">
        <f>SUM(B14:B26)</f>
        <v>163857444.44444445</v>
      </c>
      <c r="C27" s="74">
        <f t="shared" ref="C27:M27" si="2">SUM(C14:C26)</f>
        <v>163857444.44444442</v>
      </c>
      <c r="D27" s="74">
        <f t="shared" si="2"/>
        <v>163857444.44444442</v>
      </c>
      <c r="E27" s="74">
        <f t="shared" si="2"/>
        <v>163857444.44444442</v>
      </c>
      <c r="F27" s="74">
        <f t="shared" si="2"/>
        <v>169865406.66666663</v>
      </c>
      <c r="G27" s="74">
        <f t="shared" si="2"/>
        <v>169865406.66666663</v>
      </c>
      <c r="H27" s="74">
        <f t="shared" si="2"/>
        <v>169865406.66666663</v>
      </c>
      <c r="I27" s="74">
        <f t="shared" si="2"/>
        <v>169865406.66666663</v>
      </c>
      <c r="J27" s="74">
        <f t="shared" si="2"/>
        <v>169865406.66666663</v>
      </c>
      <c r="K27" s="74">
        <f t="shared" si="2"/>
        <v>199490406.66666663</v>
      </c>
      <c r="L27" s="74">
        <f t="shared" si="2"/>
        <v>199490406.66666663</v>
      </c>
      <c r="M27" s="74">
        <f t="shared" si="2"/>
        <v>199490406.66666663</v>
      </c>
      <c r="N27" s="98">
        <f>SUM(N14:N26)</f>
        <v>2109235993.3333333</v>
      </c>
    </row>
    <row r="28" spans="1:14">
      <c r="A28" s="111" t="s">
        <v>56</v>
      </c>
      <c r="B28" s="61">
        <f>N28/12</f>
        <v>795833.33333333337</v>
      </c>
      <c r="C28" s="73">
        <v>795833.33333333337</v>
      </c>
      <c r="D28" s="73">
        <v>795833.33333333337</v>
      </c>
      <c r="E28" s="73">
        <v>795833.33333333337</v>
      </c>
      <c r="F28" s="73">
        <v>795833.33333333337</v>
      </c>
      <c r="G28" s="73">
        <v>795833.33333333337</v>
      </c>
      <c r="H28" s="73">
        <v>795833.33333333337</v>
      </c>
      <c r="I28" s="73">
        <v>795833.33333333337</v>
      </c>
      <c r="J28" s="73">
        <v>795833.33333333337</v>
      </c>
      <c r="K28" s="73">
        <v>795833.33333333337</v>
      </c>
      <c r="L28" s="73">
        <v>795833.33333333337</v>
      </c>
      <c r="M28" s="73">
        <v>795833.33333333337</v>
      </c>
      <c r="N28" s="84">
        <f>'INCOME DETAILS'!AD121</f>
        <v>9550000</v>
      </c>
    </row>
    <row r="29" spans="1:14">
      <c r="A29" s="111" t="s">
        <v>59</v>
      </c>
      <c r="B29" s="73">
        <f>N29/12</f>
        <v>2340000</v>
      </c>
      <c r="C29" s="73">
        <v>2340000</v>
      </c>
      <c r="D29" s="73">
        <v>2340000</v>
      </c>
      <c r="E29" s="73">
        <v>2340000</v>
      </c>
      <c r="F29" s="73">
        <v>2340000</v>
      </c>
      <c r="G29" s="73">
        <v>2340000</v>
      </c>
      <c r="H29" s="73">
        <v>2340000</v>
      </c>
      <c r="I29" s="73">
        <v>2340000</v>
      </c>
      <c r="J29" s="73">
        <v>2340000</v>
      </c>
      <c r="K29" s="73">
        <v>2340000</v>
      </c>
      <c r="L29" s="73">
        <v>2340000</v>
      </c>
      <c r="M29" s="73">
        <v>2340000</v>
      </c>
      <c r="N29" s="84">
        <f>'INCOME DETAILS'!AE121</f>
        <v>28080000</v>
      </c>
    </row>
    <row r="30" spans="1:14">
      <c r="A30" s="111" t="s">
        <v>99</v>
      </c>
      <c r="B30" s="73">
        <f>N30/12</f>
        <v>2225000</v>
      </c>
      <c r="C30" s="73">
        <v>2225000</v>
      </c>
      <c r="D30" s="73">
        <v>2225000</v>
      </c>
      <c r="E30" s="73">
        <v>2225000</v>
      </c>
      <c r="F30" s="73">
        <v>2225000</v>
      </c>
      <c r="G30" s="73">
        <v>2225000</v>
      </c>
      <c r="H30" s="73">
        <v>2225000</v>
      </c>
      <c r="I30" s="73">
        <v>2225000</v>
      </c>
      <c r="J30" s="73">
        <v>2225000</v>
      </c>
      <c r="K30" s="73">
        <v>2225000</v>
      </c>
      <c r="L30" s="73">
        <v>2225000</v>
      </c>
      <c r="M30" s="73">
        <v>2225000</v>
      </c>
      <c r="N30" s="84">
        <f>'INCOME DETAILS'!AF121</f>
        <v>26700000</v>
      </c>
    </row>
    <row r="31" spans="1:14">
      <c r="A31" s="111" t="s">
        <v>100</v>
      </c>
      <c r="J31" s="61">
        <f>N31</f>
        <v>13000000</v>
      </c>
      <c r="N31" s="84">
        <f>260*50000</f>
        <v>13000000</v>
      </c>
    </row>
    <row r="32" spans="1:14">
      <c r="A32" s="111" t="s">
        <v>5</v>
      </c>
      <c r="B32" s="61">
        <f>N32/12</f>
        <v>50820</v>
      </c>
      <c r="C32" s="61">
        <v>50820</v>
      </c>
      <c r="D32" s="61">
        <v>50820</v>
      </c>
      <c r="E32" s="61">
        <v>50820</v>
      </c>
      <c r="F32" s="61">
        <v>50820</v>
      </c>
      <c r="G32" s="61">
        <v>50820</v>
      </c>
      <c r="H32" s="61">
        <v>50820</v>
      </c>
      <c r="I32" s="61">
        <v>50820</v>
      </c>
      <c r="J32" s="61">
        <v>50820</v>
      </c>
      <c r="K32" s="61">
        <v>50820</v>
      </c>
      <c r="L32" s="61">
        <v>50820</v>
      </c>
      <c r="M32" s="61">
        <v>50820</v>
      </c>
      <c r="N32" s="84">
        <v>609840</v>
      </c>
    </row>
    <row r="33" spans="1:14">
      <c r="A33" s="113" t="s">
        <v>101</v>
      </c>
      <c r="B33" s="61">
        <f t="shared" ref="B33:B34" si="3">N33/12</f>
        <v>33333.333333333336</v>
      </c>
      <c r="C33" s="61">
        <v>33333.333333333336</v>
      </c>
      <c r="D33" s="61">
        <v>33333.333333333336</v>
      </c>
      <c r="E33" s="61">
        <v>33333.333333333336</v>
      </c>
      <c r="F33" s="61">
        <v>33333.333333333336</v>
      </c>
      <c r="G33" s="61">
        <v>33333.333333333336</v>
      </c>
      <c r="H33" s="61">
        <v>33333.333333333336</v>
      </c>
      <c r="I33" s="61">
        <v>33333.333333333336</v>
      </c>
      <c r="J33" s="61">
        <v>33333.333333333336</v>
      </c>
      <c r="K33" s="61">
        <v>33333.333333333336</v>
      </c>
      <c r="L33" s="61">
        <v>33333.333333333336</v>
      </c>
      <c r="M33" s="61">
        <v>33333.333333333336</v>
      </c>
      <c r="N33" s="84">
        <v>400000</v>
      </c>
    </row>
    <row r="34" spans="1:14">
      <c r="A34" s="113" t="s">
        <v>102</v>
      </c>
      <c r="B34" s="61">
        <f t="shared" si="3"/>
        <v>232466.66666666666</v>
      </c>
      <c r="C34" s="61">
        <v>232466.66666666666</v>
      </c>
      <c r="D34" s="61">
        <v>232466.66666666666</v>
      </c>
      <c r="E34" s="61">
        <v>232466.66666666666</v>
      </c>
      <c r="F34" s="61">
        <v>232466.66666666666</v>
      </c>
      <c r="G34" s="61">
        <v>232466.66666666666</v>
      </c>
      <c r="H34" s="61">
        <v>232466.66666666666</v>
      </c>
      <c r="I34" s="61">
        <v>232466.66666666666</v>
      </c>
      <c r="J34" s="61">
        <v>232466.66666666666</v>
      </c>
      <c r="K34" s="61">
        <v>232466.66666666666</v>
      </c>
      <c r="L34" s="61">
        <v>232466.66666666666</v>
      </c>
      <c r="M34" s="61">
        <v>232466.66666666666</v>
      </c>
      <c r="N34" s="84">
        <v>2789600</v>
      </c>
    </row>
    <row r="35" spans="1:14" s="1" customFormat="1">
      <c r="A35" s="114" t="s">
        <v>241</v>
      </c>
      <c r="B35" s="95">
        <f>SUM(B27:B34)</f>
        <v>169534897.77777779</v>
      </c>
      <c r="C35" s="95">
        <f t="shared" ref="C35:M35" si="4">SUM(C27:C34)</f>
        <v>169534897.77777776</v>
      </c>
      <c r="D35" s="95">
        <f t="shared" si="4"/>
        <v>169534897.77777776</v>
      </c>
      <c r="E35" s="95">
        <f t="shared" si="4"/>
        <v>169534897.77777776</v>
      </c>
      <c r="F35" s="95">
        <f t="shared" si="4"/>
        <v>175542859.99999997</v>
      </c>
      <c r="G35" s="95">
        <f t="shared" si="4"/>
        <v>175542859.99999997</v>
      </c>
      <c r="H35" s="95">
        <f t="shared" si="4"/>
        <v>175542859.99999997</v>
      </c>
      <c r="I35" s="95">
        <f t="shared" si="4"/>
        <v>175542859.99999997</v>
      </c>
      <c r="J35" s="95">
        <f t="shared" si="4"/>
        <v>188542859.99999997</v>
      </c>
      <c r="K35" s="95">
        <f t="shared" si="4"/>
        <v>205167859.99999997</v>
      </c>
      <c r="L35" s="95">
        <f t="shared" si="4"/>
        <v>205167859.99999997</v>
      </c>
      <c r="M35" s="95">
        <f t="shared" si="4"/>
        <v>205167859.99999997</v>
      </c>
      <c r="N35" s="95">
        <f>SUM(N27:N34)</f>
        <v>2190365433.333333</v>
      </c>
    </row>
    <row r="36" spans="1:14" s="1" customFormat="1">
      <c r="A36" s="115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8"/>
    </row>
    <row r="37" spans="1:14">
      <c r="A37" s="112" t="s">
        <v>4</v>
      </c>
      <c r="N37" s="98"/>
    </row>
    <row r="38" spans="1:14">
      <c r="A38" s="116" t="s">
        <v>240</v>
      </c>
      <c r="B38" s="90">
        <f>N38/12</f>
        <v>1309000</v>
      </c>
      <c r="C38" s="90">
        <v>1309000</v>
      </c>
      <c r="D38" s="90">
        <v>1309000</v>
      </c>
      <c r="E38" s="90">
        <v>1309000</v>
      </c>
      <c r="F38" s="90">
        <v>1309000</v>
      </c>
      <c r="G38" s="90">
        <v>1309000</v>
      </c>
      <c r="H38" s="90">
        <v>1309000</v>
      </c>
      <c r="I38" s="90">
        <v>1309000</v>
      </c>
      <c r="J38" s="90">
        <v>1309000</v>
      </c>
      <c r="K38" s="90">
        <v>1309000</v>
      </c>
      <c r="L38" s="90">
        <v>1309000</v>
      </c>
      <c r="M38" s="90">
        <v>1309000</v>
      </c>
      <c r="N38" s="84">
        <f>187*7000*12</f>
        <v>15708000</v>
      </c>
    </row>
    <row r="39" spans="1:14">
      <c r="A39" s="116" t="s">
        <v>250</v>
      </c>
      <c r="B39" s="73"/>
      <c r="C39" s="73"/>
      <c r="D39" s="73"/>
      <c r="E39" s="73"/>
      <c r="F39" s="73">
        <f>N39/8</f>
        <v>12500000</v>
      </c>
      <c r="G39" s="73">
        <v>12500000</v>
      </c>
      <c r="H39" s="73">
        <v>12500000</v>
      </c>
      <c r="I39" s="73">
        <v>12500000</v>
      </c>
      <c r="J39" s="73">
        <v>12500000</v>
      </c>
      <c r="K39" s="73">
        <v>12500000</v>
      </c>
      <c r="L39" s="73">
        <v>12500000</v>
      </c>
      <c r="M39" s="73">
        <v>12500000</v>
      </c>
      <c r="N39" s="84">
        <v>100000000</v>
      </c>
    </row>
    <row r="40" spans="1:14" s="1" customFormat="1">
      <c r="A40" s="117" t="s">
        <v>248</v>
      </c>
      <c r="B40" s="87">
        <f>B38+B39</f>
        <v>1309000</v>
      </c>
      <c r="C40" s="87">
        <f t="shared" ref="C40:M40" si="5">C38+C39</f>
        <v>1309000</v>
      </c>
      <c r="D40" s="87">
        <f t="shared" si="5"/>
        <v>1309000</v>
      </c>
      <c r="E40" s="87">
        <f t="shared" si="5"/>
        <v>1309000</v>
      </c>
      <c r="F40" s="87">
        <f t="shared" si="5"/>
        <v>13809000</v>
      </c>
      <c r="G40" s="87">
        <f t="shared" si="5"/>
        <v>13809000</v>
      </c>
      <c r="H40" s="87">
        <f t="shared" si="5"/>
        <v>13809000</v>
      </c>
      <c r="I40" s="87">
        <f t="shared" si="5"/>
        <v>13809000</v>
      </c>
      <c r="J40" s="87">
        <f t="shared" si="5"/>
        <v>13809000</v>
      </c>
      <c r="K40" s="87">
        <f t="shared" si="5"/>
        <v>13809000</v>
      </c>
      <c r="L40" s="87">
        <f t="shared" si="5"/>
        <v>13809000</v>
      </c>
      <c r="M40" s="87">
        <f t="shared" si="5"/>
        <v>13809000</v>
      </c>
      <c r="N40" s="87">
        <f>N38+N39</f>
        <v>115708000</v>
      </c>
    </row>
    <row r="41" spans="1:14">
      <c r="A41" s="118" t="s">
        <v>249</v>
      </c>
      <c r="B41" s="9">
        <f>B40+B35</f>
        <v>170843897.77777779</v>
      </c>
      <c r="C41" s="9">
        <f t="shared" ref="C41:N41" si="6">C40+C35</f>
        <v>170843897.77777776</v>
      </c>
      <c r="D41" s="9">
        <f t="shared" si="6"/>
        <v>170843897.77777776</v>
      </c>
      <c r="E41" s="9">
        <f t="shared" si="6"/>
        <v>170843897.77777776</v>
      </c>
      <c r="F41" s="9">
        <f t="shared" si="6"/>
        <v>189351859.99999997</v>
      </c>
      <c r="G41" s="9">
        <f t="shared" si="6"/>
        <v>189351859.99999997</v>
      </c>
      <c r="H41" s="9">
        <f t="shared" si="6"/>
        <v>189351859.99999997</v>
      </c>
      <c r="I41" s="9">
        <f t="shared" si="6"/>
        <v>189351859.99999997</v>
      </c>
      <c r="J41" s="9">
        <f t="shared" si="6"/>
        <v>202351859.99999997</v>
      </c>
      <c r="K41" s="9">
        <f t="shared" si="6"/>
        <v>218976859.99999997</v>
      </c>
      <c r="L41" s="9">
        <f t="shared" si="6"/>
        <v>218976859.99999997</v>
      </c>
      <c r="M41" s="9">
        <f t="shared" si="6"/>
        <v>218976859.99999997</v>
      </c>
      <c r="N41" s="9">
        <f t="shared" si="6"/>
        <v>2306073433.333333</v>
      </c>
    </row>
    <row r="42" spans="1:14">
      <c r="A42" s="119" t="s">
        <v>6</v>
      </c>
      <c r="N42" s="98"/>
    </row>
    <row r="43" spans="1:14">
      <c r="A43" s="120" t="s">
        <v>158</v>
      </c>
      <c r="N43" s="98"/>
    </row>
    <row r="44" spans="1:14">
      <c r="A44" s="121" t="s">
        <v>159</v>
      </c>
      <c r="B44" s="79">
        <f>33807840.0605505*110%</f>
        <v>37188624.06660556</v>
      </c>
      <c r="C44" s="79">
        <f>33807840.0605505*110%</f>
        <v>37188624.06660556</v>
      </c>
      <c r="D44" s="79">
        <f>33807840.0605505*110%</f>
        <v>37188624.06660556</v>
      </c>
      <c r="E44" s="79">
        <f>33807840.0605505*110%</f>
        <v>37188624.06660556</v>
      </c>
      <c r="F44" s="79">
        <f>33807840.0605505*120%</f>
        <v>40569408.072660603</v>
      </c>
      <c r="G44" s="79">
        <f>33807840.0605505*120%</f>
        <v>40569408.072660603</v>
      </c>
      <c r="H44" s="79">
        <f>33807840.0605505*120%</f>
        <v>40569408.072660603</v>
      </c>
      <c r="I44" s="79">
        <f>33807840.0605505*120%</f>
        <v>40569408.072660603</v>
      </c>
      <c r="J44" s="79">
        <f>33807840.0605505*120%</f>
        <v>40569408.072660603</v>
      </c>
      <c r="K44" s="79">
        <f t="shared" ref="K44:M44" si="7">33807840.0605505*150%</f>
        <v>50711760.090825751</v>
      </c>
      <c r="L44" s="79">
        <f t="shared" si="7"/>
        <v>50711760.090825751</v>
      </c>
      <c r="M44" s="79">
        <f t="shared" si="7"/>
        <v>50711760.090825751</v>
      </c>
      <c r="N44" s="98">
        <f>SUM(B44:M44)</f>
        <v>503736816.90220249</v>
      </c>
    </row>
    <row r="45" spans="1:14">
      <c r="A45" s="121" t="s">
        <v>160</v>
      </c>
      <c r="B45" s="79">
        <f>8392352.01821476*110%</f>
        <v>9231587.2200362366</v>
      </c>
      <c r="C45" s="79">
        <f>8392352.01821476*110%</f>
        <v>9231587.2200362366</v>
      </c>
      <c r="D45" s="79">
        <f>8392352.01821476*110%</f>
        <v>9231587.2200362366</v>
      </c>
      <c r="E45" s="79">
        <f>8392352.01821476*110%</f>
        <v>9231587.2200362366</v>
      </c>
      <c r="F45" s="79">
        <f>8392352.01821476*120%</f>
        <v>10070822.421857713</v>
      </c>
      <c r="G45" s="79">
        <f>8392352.01821476*120%</f>
        <v>10070822.421857713</v>
      </c>
      <c r="H45" s="79">
        <f>8392352.01821476*120%</f>
        <v>10070822.421857713</v>
      </c>
      <c r="I45" s="79">
        <f>8392352.01821476*120%</f>
        <v>10070822.421857713</v>
      </c>
      <c r="J45" s="79">
        <f>8392352.01821476*120%</f>
        <v>10070822.421857713</v>
      </c>
      <c r="K45" s="79">
        <f t="shared" ref="K45:M45" si="8">8392352.01821476*150%</f>
        <v>12588528.02732214</v>
      </c>
      <c r="L45" s="79">
        <f t="shared" si="8"/>
        <v>12588528.02732214</v>
      </c>
      <c r="M45" s="79">
        <f t="shared" si="8"/>
        <v>12588528.02732214</v>
      </c>
      <c r="N45" s="98">
        <f>SUM(B45:M45)</f>
        <v>125046045.07139994</v>
      </c>
    </row>
    <row r="46" spans="1:14">
      <c r="A46" s="121" t="s">
        <v>161</v>
      </c>
      <c r="B46" s="80">
        <f>15530409.8544533*110%</f>
        <v>17083450.839898631</v>
      </c>
      <c r="C46" s="80">
        <f>15530409.8544533*110%</f>
        <v>17083450.839898631</v>
      </c>
      <c r="D46" s="80">
        <f>15530409.8544533*110%</f>
        <v>17083450.839898631</v>
      </c>
      <c r="E46" s="80">
        <f>15530409.8544533*110%</f>
        <v>17083450.839898631</v>
      </c>
      <c r="F46" s="80">
        <f>15530409.8544533*120%</f>
        <v>18636491.825343959</v>
      </c>
      <c r="G46" s="80">
        <f>15530409.8544533*120%</f>
        <v>18636491.825343959</v>
      </c>
      <c r="H46" s="80">
        <f>15530409.8544533*120%</f>
        <v>18636491.825343959</v>
      </c>
      <c r="I46" s="80">
        <f>15530409.8544533*120%</f>
        <v>18636491.825343959</v>
      </c>
      <c r="J46" s="80">
        <f>15530409.8544533*120%</f>
        <v>18636491.825343959</v>
      </c>
      <c r="K46" s="80">
        <f t="shared" ref="K46:M46" si="9">15530409.8544533*150%</f>
        <v>23295614.781679951</v>
      </c>
      <c r="L46" s="80">
        <f t="shared" si="9"/>
        <v>23295614.781679951</v>
      </c>
      <c r="M46" s="80">
        <f t="shared" si="9"/>
        <v>23295614.781679951</v>
      </c>
      <c r="N46" s="53">
        <f>SUM(B46:M46)</f>
        <v>231403106.83135423</v>
      </c>
    </row>
    <row r="47" spans="1:14">
      <c r="A47" s="121" t="s">
        <v>274</v>
      </c>
      <c r="B47" s="80">
        <f>2974718.79640678*110%</f>
        <v>3272190.6760474583</v>
      </c>
      <c r="C47" s="80">
        <f>2974718.79640678*110%</f>
        <v>3272190.6760474583</v>
      </c>
      <c r="D47" s="80">
        <f>2974718.79640678*110%</f>
        <v>3272190.6760474583</v>
      </c>
      <c r="E47" s="80">
        <f>2974718.79640678*110%</f>
        <v>3272190.6760474583</v>
      </c>
      <c r="F47" s="80">
        <f>2974718.79640678*120%</f>
        <v>3569662.5556881358</v>
      </c>
      <c r="G47" s="80">
        <f>2974718.79640678*120%</f>
        <v>3569662.5556881358</v>
      </c>
      <c r="H47" s="80">
        <f>2974718.79640678*120%</f>
        <v>3569662.5556881358</v>
      </c>
      <c r="I47" s="80">
        <f>2974718.79640678*120%</f>
        <v>3569662.5556881358</v>
      </c>
      <c r="J47" s="80">
        <f>2974718.79640678*120%</f>
        <v>3569662.5556881358</v>
      </c>
      <c r="K47" s="80">
        <f t="shared" ref="K47:M47" si="10">2974718.79640678*150%</f>
        <v>4462078.1946101701</v>
      </c>
      <c r="L47" s="80">
        <f t="shared" si="10"/>
        <v>4462078.1946101701</v>
      </c>
      <c r="M47" s="80">
        <f t="shared" si="10"/>
        <v>4462078.1946101701</v>
      </c>
      <c r="N47" s="53">
        <f>SUM(B47:M47)</f>
        <v>44323310.066461019</v>
      </c>
    </row>
    <row r="48" spans="1:14">
      <c r="A48" s="121" t="s">
        <v>162</v>
      </c>
      <c r="B48" s="79">
        <f>1251849.27037465*110%</f>
        <v>1377034.1974121151</v>
      </c>
      <c r="C48" s="79">
        <f>1251849.27037465*110%</f>
        <v>1377034.1974121151</v>
      </c>
      <c r="D48" s="79">
        <f>1251849.27037465*110%</f>
        <v>1377034.1974121151</v>
      </c>
      <c r="E48" s="79">
        <f>1251849.27037465*110%</f>
        <v>1377034.1974121151</v>
      </c>
      <c r="F48" s="79">
        <f>1251849.27037465*120%</f>
        <v>1502219.1244495797</v>
      </c>
      <c r="G48" s="79">
        <f>1251849.27037465*120%</f>
        <v>1502219.1244495797</v>
      </c>
      <c r="H48" s="79">
        <f>1251849.27037465*120%</f>
        <v>1502219.1244495797</v>
      </c>
      <c r="I48" s="79">
        <f>1251849.27037465*120%</f>
        <v>1502219.1244495797</v>
      </c>
      <c r="J48" s="79">
        <f>1251849.27037465*120%</f>
        <v>1502219.1244495797</v>
      </c>
      <c r="K48" s="79">
        <f t="shared" ref="K48:M48" si="11">1251849.27037465*150%</f>
        <v>1877773.9055619747</v>
      </c>
      <c r="L48" s="79">
        <f t="shared" si="11"/>
        <v>1877773.9055619747</v>
      </c>
      <c r="M48" s="79">
        <f t="shared" si="11"/>
        <v>1877773.9055619747</v>
      </c>
      <c r="N48" s="53">
        <f>SUM(B48:M48)</f>
        <v>18652554.12858228</v>
      </c>
    </row>
    <row r="49" spans="1:14" s="1" customFormat="1">
      <c r="A49" s="122" t="s">
        <v>163</v>
      </c>
      <c r="B49" s="149">
        <f>SUM(B44:B48)</f>
        <v>68152887</v>
      </c>
      <c r="C49" s="149">
        <f t="shared" ref="C49:M49" si="12">SUM(C44:C48)</f>
        <v>68152887</v>
      </c>
      <c r="D49" s="149">
        <f t="shared" si="12"/>
        <v>68152887</v>
      </c>
      <c r="E49" s="149">
        <f t="shared" si="12"/>
        <v>68152887</v>
      </c>
      <c r="F49" s="149">
        <f t="shared" si="12"/>
        <v>74348604</v>
      </c>
      <c r="G49" s="149">
        <f t="shared" si="12"/>
        <v>74348604</v>
      </c>
      <c r="H49" s="149">
        <f t="shared" si="12"/>
        <v>74348604</v>
      </c>
      <c r="I49" s="149">
        <f t="shared" si="12"/>
        <v>74348604</v>
      </c>
      <c r="J49" s="149">
        <f t="shared" si="12"/>
        <v>74348604</v>
      </c>
      <c r="K49" s="149">
        <f t="shared" si="12"/>
        <v>92935754.99999997</v>
      </c>
      <c r="L49" s="149">
        <f t="shared" si="12"/>
        <v>92935754.99999997</v>
      </c>
      <c r="M49" s="149">
        <f t="shared" si="12"/>
        <v>92935754.99999997</v>
      </c>
      <c r="N49" s="149">
        <f>SUM(N44:N48)</f>
        <v>923161832.99999988</v>
      </c>
    </row>
    <row r="50" spans="1:14">
      <c r="A50" s="123" t="s">
        <v>105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53"/>
    </row>
    <row r="51" spans="1:14">
      <c r="A51" s="121" t="s">
        <v>106</v>
      </c>
      <c r="B51" s="85">
        <v>210000</v>
      </c>
      <c r="C51" s="85">
        <v>210000</v>
      </c>
      <c r="D51" s="85">
        <v>210000</v>
      </c>
      <c r="E51" s="85">
        <v>210000</v>
      </c>
      <c r="F51" s="85">
        <v>210000</v>
      </c>
      <c r="G51" s="85">
        <v>210000</v>
      </c>
      <c r="H51" s="85">
        <v>210000</v>
      </c>
      <c r="I51" s="85">
        <v>210000</v>
      </c>
      <c r="J51" s="85">
        <v>210000</v>
      </c>
      <c r="K51" s="85">
        <v>210000</v>
      </c>
      <c r="L51" s="85">
        <v>210000</v>
      </c>
      <c r="M51" s="85">
        <v>210000</v>
      </c>
      <c r="N51" s="81">
        <f>SUM(B51:M51)</f>
        <v>2520000</v>
      </c>
    </row>
    <row r="52" spans="1:14">
      <c r="A52" s="121" t="s">
        <v>107</v>
      </c>
      <c r="B52" s="79">
        <f>720000+55000</f>
        <v>775000</v>
      </c>
      <c r="C52" s="79">
        <f t="shared" ref="C52:M52" si="13">720000+55000</f>
        <v>775000</v>
      </c>
      <c r="D52" s="79">
        <f t="shared" si="13"/>
        <v>775000</v>
      </c>
      <c r="E52" s="79">
        <f t="shared" si="13"/>
        <v>775000</v>
      </c>
      <c r="F52" s="79">
        <f t="shared" si="13"/>
        <v>775000</v>
      </c>
      <c r="G52" s="79">
        <f t="shared" si="13"/>
        <v>775000</v>
      </c>
      <c r="H52" s="79">
        <f t="shared" si="13"/>
        <v>775000</v>
      </c>
      <c r="I52" s="79">
        <f t="shared" si="13"/>
        <v>775000</v>
      </c>
      <c r="J52" s="79">
        <f t="shared" si="13"/>
        <v>775000</v>
      </c>
      <c r="K52" s="79">
        <f t="shared" si="13"/>
        <v>775000</v>
      </c>
      <c r="L52" s="79">
        <f t="shared" si="13"/>
        <v>775000</v>
      </c>
      <c r="M52" s="79">
        <f t="shared" si="13"/>
        <v>775000</v>
      </c>
      <c r="N52" s="98">
        <f>SUM(B52:M52)</f>
        <v>9300000</v>
      </c>
    </row>
    <row r="53" spans="1:14">
      <c r="A53" s="121" t="s">
        <v>164</v>
      </c>
      <c r="B53" s="79">
        <v>1342035</v>
      </c>
      <c r="C53" s="79">
        <v>1342035</v>
      </c>
      <c r="D53" s="79">
        <v>1342035</v>
      </c>
      <c r="E53" s="79">
        <v>1342035</v>
      </c>
      <c r="F53" s="79">
        <v>1342035</v>
      </c>
      <c r="G53" s="79">
        <v>1342035</v>
      </c>
      <c r="H53" s="79">
        <v>1342035</v>
      </c>
      <c r="I53" s="79">
        <v>1342035</v>
      </c>
      <c r="J53" s="79">
        <v>1342035</v>
      </c>
      <c r="K53" s="79">
        <v>1342035</v>
      </c>
      <c r="L53" s="79">
        <v>1342035</v>
      </c>
      <c r="M53" s="79">
        <v>1342035</v>
      </c>
      <c r="N53" s="98">
        <f>SUM(B53:M53)</f>
        <v>16104420</v>
      </c>
    </row>
    <row r="54" spans="1:14">
      <c r="A54" s="121" t="s">
        <v>108</v>
      </c>
      <c r="B54" s="79">
        <f>N54/12</f>
        <v>1280603.3999999999</v>
      </c>
      <c r="C54" s="79">
        <v>1280603.3999999999</v>
      </c>
      <c r="D54" s="79">
        <v>1280603.3999999999</v>
      </c>
      <c r="E54" s="79">
        <v>1280603.3999999999</v>
      </c>
      <c r="F54" s="79">
        <v>1280603.3999999999</v>
      </c>
      <c r="G54" s="79">
        <v>1280603.3999999999</v>
      </c>
      <c r="H54" s="79">
        <v>1280603.3999999999</v>
      </c>
      <c r="I54" s="79">
        <v>1280603.3999999999</v>
      </c>
      <c r="J54" s="79">
        <v>1280603.3999999999</v>
      </c>
      <c r="K54" s="79">
        <v>1280603.3999999999</v>
      </c>
      <c r="L54" s="79">
        <v>1280603.3999999999</v>
      </c>
      <c r="M54" s="79">
        <v>1280603.3999999999</v>
      </c>
      <c r="N54" s="53">
        <f>(12234658+571376)*120%</f>
        <v>15367240.799999999</v>
      </c>
    </row>
    <row r="55" spans="1:14">
      <c r="A55" s="121" t="s">
        <v>252</v>
      </c>
      <c r="B55" s="79">
        <v>800000</v>
      </c>
      <c r="C55" s="79">
        <v>800000</v>
      </c>
      <c r="D55" s="79">
        <v>800000</v>
      </c>
      <c r="E55" s="79">
        <v>800000</v>
      </c>
      <c r="F55" s="79">
        <v>800000</v>
      </c>
      <c r="G55" s="79">
        <v>800000</v>
      </c>
      <c r="H55" s="79">
        <v>800000</v>
      </c>
      <c r="I55" s="79">
        <v>800000</v>
      </c>
      <c r="J55" s="79">
        <v>800000</v>
      </c>
      <c r="K55" s="79">
        <v>800000</v>
      </c>
      <c r="L55" s="79">
        <v>800000</v>
      </c>
      <c r="M55" s="79">
        <v>800000</v>
      </c>
      <c r="N55" s="53">
        <f>SUM(B55:M55)</f>
        <v>9600000</v>
      </c>
    </row>
    <row r="56" spans="1:14">
      <c r="A56" s="121" t="s">
        <v>109</v>
      </c>
      <c r="B56" s="79">
        <v>2020000</v>
      </c>
      <c r="C56" s="79">
        <v>2020000</v>
      </c>
      <c r="D56" s="79">
        <v>2020000</v>
      </c>
      <c r="E56" s="79">
        <v>2020000</v>
      </c>
      <c r="F56" s="79">
        <v>2020000</v>
      </c>
      <c r="G56" s="79">
        <v>2020000</v>
      </c>
      <c r="H56" s="79">
        <v>2020000</v>
      </c>
      <c r="I56" s="79">
        <v>2020000</v>
      </c>
      <c r="J56" s="79">
        <v>2020000</v>
      </c>
      <c r="K56" s="79">
        <v>2020000</v>
      </c>
      <c r="L56" s="79">
        <v>2020000</v>
      </c>
      <c r="M56" s="79">
        <v>2020000</v>
      </c>
      <c r="N56" s="98">
        <f>SUM(B56:M56)</f>
        <v>24240000</v>
      </c>
    </row>
    <row r="57" spans="1:14">
      <c r="A57" s="121" t="s">
        <v>111</v>
      </c>
      <c r="B57" s="79">
        <v>3999855</v>
      </c>
      <c r="C57" s="79">
        <v>3999855</v>
      </c>
      <c r="D57" s="79">
        <v>3999855</v>
      </c>
      <c r="E57" s="79">
        <v>3999855</v>
      </c>
      <c r="F57" s="79">
        <v>3999855</v>
      </c>
      <c r="G57" s="79">
        <v>3999855</v>
      </c>
      <c r="H57" s="79">
        <v>3999855</v>
      </c>
      <c r="I57" s="79">
        <v>3999855</v>
      </c>
      <c r="J57" s="79">
        <v>3999855</v>
      </c>
      <c r="K57" s="79">
        <v>3999855</v>
      </c>
      <c r="L57" s="79">
        <v>3999855</v>
      </c>
      <c r="M57" s="79">
        <v>3999855</v>
      </c>
      <c r="N57" s="98">
        <f>SUM(B57:M57)</f>
        <v>47998260</v>
      </c>
    </row>
    <row r="58" spans="1:14">
      <c r="A58" s="121" t="s">
        <v>9</v>
      </c>
      <c r="B58" s="79">
        <f>N58/12</f>
        <v>99705.599999999991</v>
      </c>
      <c r="C58" s="79">
        <v>99705.599999999991</v>
      </c>
      <c r="D58" s="79">
        <v>99705.599999999991</v>
      </c>
      <c r="E58" s="79">
        <v>99705.599999999991</v>
      </c>
      <c r="F58" s="79">
        <v>99705.599999999991</v>
      </c>
      <c r="G58" s="79">
        <v>99705.599999999991</v>
      </c>
      <c r="H58" s="79">
        <v>99705.599999999991</v>
      </c>
      <c r="I58" s="79">
        <v>99705.599999999991</v>
      </c>
      <c r="J58" s="79">
        <v>99705.599999999991</v>
      </c>
      <c r="K58" s="79">
        <v>99705.599999999991</v>
      </c>
      <c r="L58" s="79">
        <v>99705.599999999991</v>
      </c>
      <c r="M58" s="79">
        <v>99705.599999999991</v>
      </c>
      <c r="N58" s="98">
        <f>997056*120%</f>
        <v>1196467.2</v>
      </c>
    </row>
    <row r="59" spans="1:14" ht="14.25" customHeight="1">
      <c r="A59" s="121" t="s">
        <v>110</v>
      </c>
      <c r="B59" s="79">
        <f>N59/12</f>
        <v>14640</v>
      </c>
      <c r="C59" s="79">
        <v>14640</v>
      </c>
      <c r="D59" s="79">
        <v>14640</v>
      </c>
      <c r="E59" s="79">
        <v>14640</v>
      </c>
      <c r="F59" s="79">
        <v>14640</v>
      </c>
      <c r="G59" s="79">
        <v>14640</v>
      </c>
      <c r="H59" s="79">
        <v>14640</v>
      </c>
      <c r="I59" s="79">
        <v>14640</v>
      </c>
      <c r="J59" s="79">
        <v>14640</v>
      </c>
      <c r="K59" s="79">
        <v>14640</v>
      </c>
      <c r="L59" s="79">
        <v>14640</v>
      </c>
      <c r="M59" s="79">
        <v>14640</v>
      </c>
      <c r="N59" s="98">
        <f>146400*120%</f>
        <v>175680</v>
      </c>
    </row>
    <row r="60" spans="1:14">
      <c r="A60" s="121" t="s">
        <v>290</v>
      </c>
      <c r="B60" s="85">
        <v>3294272.8349999995</v>
      </c>
      <c r="C60" s="85">
        <v>3294272.8349999995</v>
      </c>
      <c r="D60" s="85">
        <v>3294272.8349999995</v>
      </c>
      <c r="E60" s="85">
        <v>3294272.8349999995</v>
      </c>
      <c r="F60" s="85">
        <v>3294272.8349999995</v>
      </c>
      <c r="G60" s="85">
        <v>3294272.8349999995</v>
      </c>
      <c r="H60" s="85">
        <v>3294272.8349999995</v>
      </c>
      <c r="I60" s="85">
        <v>3294272.8349999995</v>
      </c>
      <c r="J60" s="85">
        <v>3294272.8349999995</v>
      </c>
      <c r="K60" s="85">
        <v>3294272.8349999995</v>
      </c>
      <c r="L60" s="85">
        <v>3294272.8349999995</v>
      </c>
      <c r="M60" s="85">
        <v>3294272.8349999995</v>
      </c>
      <c r="N60" s="98">
        <v>39531274.019999996</v>
      </c>
    </row>
    <row r="61" spans="1:14">
      <c r="A61" s="121" t="s">
        <v>291</v>
      </c>
      <c r="B61" s="79">
        <v>1172273.2583333331</v>
      </c>
      <c r="C61" s="79">
        <v>1172273.2583333331</v>
      </c>
      <c r="D61" s="79">
        <v>1172273.2583333331</v>
      </c>
      <c r="E61" s="79">
        <v>1172273.2583333331</v>
      </c>
      <c r="F61" s="79">
        <v>1172273.2583333331</v>
      </c>
      <c r="G61" s="79">
        <v>1172273.2583333331</v>
      </c>
      <c r="H61" s="79">
        <v>1172273.2583333331</v>
      </c>
      <c r="I61" s="79">
        <v>1172273.2583333331</v>
      </c>
      <c r="J61" s="79">
        <v>1172273.2583333331</v>
      </c>
      <c r="K61" s="79">
        <v>1172273.2583333331</v>
      </c>
      <c r="L61" s="79">
        <v>1172273.2583333331</v>
      </c>
      <c r="M61" s="79">
        <v>1172273.2583333331</v>
      </c>
      <c r="N61" s="98">
        <f t="shared" ref="N61" si="14">SUM(B61:M61)</f>
        <v>14067279.099999996</v>
      </c>
    </row>
    <row r="62" spans="1:14">
      <c r="A62" s="121" t="s">
        <v>112</v>
      </c>
      <c r="B62" s="79">
        <f>500000+400000+50000</f>
        <v>950000</v>
      </c>
      <c r="C62" s="79">
        <f t="shared" ref="C62:M62" si="15">500000+400000+50000</f>
        <v>950000</v>
      </c>
      <c r="D62" s="79">
        <f t="shared" si="15"/>
        <v>950000</v>
      </c>
      <c r="E62" s="79">
        <f t="shared" si="15"/>
        <v>950000</v>
      </c>
      <c r="F62" s="79">
        <f t="shared" si="15"/>
        <v>950000</v>
      </c>
      <c r="G62" s="79">
        <f t="shared" si="15"/>
        <v>950000</v>
      </c>
      <c r="H62" s="79">
        <f t="shared" si="15"/>
        <v>950000</v>
      </c>
      <c r="I62" s="79">
        <f t="shared" si="15"/>
        <v>950000</v>
      </c>
      <c r="J62" s="79">
        <f t="shared" si="15"/>
        <v>950000</v>
      </c>
      <c r="K62" s="79">
        <f t="shared" si="15"/>
        <v>950000</v>
      </c>
      <c r="L62" s="79">
        <f t="shared" si="15"/>
        <v>950000</v>
      </c>
      <c r="M62" s="79">
        <f t="shared" si="15"/>
        <v>950000</v>
      </c>
      <c r="N62" s="98">
        <f>SUM(B62:M62)</f>
        <v>11400000</v>
      </c>
    </row>
    <row r="63" spans="1:14">
      <c r="A63" s="121" t="s">
        <v>165</v>
      </c>
      <c r="B63" s="79">
        <v>1038333.3333333334</v>
      </c>
      <c r="C63" s="79">
        <v>1038333.3333333334</v>
      </c>
      <c r="D63" s="79">
        <v>1038333.3333333334</v>
      </c>
      <c r="E63" s="79">
        <v>1038333.3333333334</v>
      </c>
      <c r="F63" s="79">
        <v>1038333.3333333334</v>
      </c>
      <c r="G63" s="79">
        <v>1038333.3333333334</v>
      </c>
      <c r="H63" s="79">
        <v>1038333.3333333334</v>
      </c>
      <c r="I63" s="79">
        <v>1038333.3333333334</v>
      </c>
      <c r="J63" s="79">
        <v>1038333.3333333334</v>
      </c>
      <c r="K63" s="79">
        <v>1038333.3333333334</v>
      </c>
      <c r="L63" s="79">
        <v>1038333.3333333334</v>
      </c>
      <c r="M63" s="79">
        <v>1038333.3333333334</v>
      </c>
      <c r="N63" s="98">
        <f>'INCOME DETAILS'!X124</f>
        <v>17210000</v>
      </c>
    </row>
    <row r="64" spans="1:14">
      <c r="A64" s="121" t="s">
        <v>244</v>
      </c>
      <c r="B64" s="79">
        <f>N64/12</f>
        <v>833333.33333333337</v>
      </c>
      <c r="C64" s="79">
        <v>833333.33333333337</v>
      </c>
      <c r="D64" s="79">
        <v>833333.33333333337</v>
      </c>
      <c r="E64" s="79">
        <v>833333.33333333337</v>
      </c>
      <c r="F64" s="79">
        <v>833333.33333333337</v>
      </c>
      <c r="G64" s="79">
        <v>833333.33333333337</v>
      </c>
      <c r="H64" s="79">
        <v>833333.33333333337</v>
      </c>
      <c r="I64" s="79">
        <v>833333.33333333337</v>
      </c>
      <c r="J64" s="79">
        <v>833333.33333333337</v>
      </c>
      <c r="K64" s="79">
        <v>833333.33333333337</v>
      </c>
      <c r="L64" s="79">
        <v>833333.33333333337</v>
      </c>
      <c r="M64" s="79">
        <v>833333.33333333337</v>
      </c>
      <c r="N64" s="98">
        <v>10000000</v>
      </c>
    </row>
    <row r="65" spans="1:14">
      <c r="A65" s="121" t="s">
        <v>113</v>
      </c>
      <c r="B65" s="79">
        <f t="shared" ref="B65:B68" si="16">N65/12</f>
        <v>229814.66666666666</v>
      </c>
      <c r="C65" s="79">
        <v>229814.66666666666</v>
      </c>
      <c r="D65" s="79">
        <v>229814.66666666666</v>
      </c>
      <c r="E65" s="79">
        <v>229814.66666666666</v>
      </c>
      <c r="F65" s="79">
        <v>229814.66666666666</v>
      </c>
      <c r="G65" s="79">
        <v>229814.66666666666</v>
      </c>
      <c r="H65" s="79">
        <v>229814.66666666666</v>
      </c>
      <c r="I65" s="79">
        <v>229814.66666666666</v>
      </c>
      <c r="J65" s="79">
        <v>229814.66666666666</v>
      </c>
      <c r="K65" s="79">
        <v>229814.66666666666</v>
      </c>
      <c r="L65" s="79">
        <v>229814.66666666666</v>
      </c>
      <c r="M65" s="79">
        <v>229814.66666666666</v>
      </c>
      <c r="N65" s="53">
        <v>2757776</v>
      </c>
    </row>
    <row r="66" spans="1:14">
      <c r="A66" s="121" t="s">
        <v>7</v>
      </c>
      <c r="B66" s="79">
        <f t="shared" si="16"/>
        <v>195082.08333333334</v>
      </c>
      <c r="C66" s="79">
        <v>195082.08333333334</v>
      </c>
      <c r="D66" s="79">
        <v>195082.08333333334</v>
      </c>
      <c r="E66" s="79">
        <v>195082.08333333334</v>
      </c>
      <c r="F66" s="79">
        <v>195082.08333333334</v>
      </c>
      <c r="G66" s="79">
        <v>195082.08333333334</v>
      </c>
      <c r="H66" s="79">
        <v>195082.08333333334</v>
      </c>
      <c r="I66" s="79">
        <v>195082.08333333334</v>
      </c>
      <c r="J66" s="79">
        <v>195082.08333333334</v>
      </c>
      <c r="K66" s="79">
        <v>195082.08333333334</v>
      </c>
      <c r="L66" s="79">
        <v>195082.08333333334</v>
      </c>
      <c r="M66" s="79">
        <v>195082.08333333334</v>
      </c>
      <c r="N66" s="53">
        <v>2340985</v>
      </c>
    </row>
    <row r="67" spans="1:14">
      <c r="A67" s="121" t="s">
        <v>166</v>
      </c>
      <c r="B67" s="79">
        <f t="shared" si="16"/>
        <v>333333.33333333331</v>
      </c>
      <c r="C67" s="79">
        <v>333333.33333333331</v>
      </c>
      <c r="D67" s="79">
        <v>333333.33333333331</v>
      </c>
      <c r="E67" s="79">
        <v>333333.33333333331</v>
      </c>
      <c r="F67" s="79">
        <v>333333.33333333331</v>
      </c>
      <c r="G67" s="79">
        <v>333333.33333333331</v>
      </c>
      <c r="H67" s="79">
        <v>333333.33333333331</v>
      </c>
      <c r="I67" s="79">
        <v>333333.33333333331</v>
      </c>
      <c r="J67" s="79">
        <v>333333.33333333331</v>
      </c>
      <c r="K67" s="79">
        <v>333333.33333333331</v>
      </c>
      <c r="L67" s="79">
        <v>333333.33333333331</v>
      </c>
      <c r="M67" s="79">
        <v>333333.33333333331</v>
      </c>
      <c r="N67" s="53">
        <v>4000000</v>
      </c>
    </row>
    <row r="68" spans="1:14">
      <c r="A68" s="124" t="s">
        <v>171</v>
      </c>
      <c r="B68" s="79">
        <f t="shared" si="16"/>
        <v>410922.74999999994</v>
      </c>
      <c r="C68" s="79">
        <v>410922.74999999994</v>
      </c>
      <c r="D68" s="79">
        <v>410922.74999999994</v>
      </c>
      <c r="E68" s="79">
        <v>410922.74999999994</v>
      </c>
      <c r="F68" s="79">
        <v>410922.74999999994</v>
      </c>
      <c r="G68" s="79">
        <v>410922.74999999994</v>
      </c>
      <c r="H68" s="79">
        <v>410922.74999999994</v>
      </c>
      <c r="I68" s="79">
        <v>410922.74999999994</v>
      </c>
      <c r="J68" s="79">
        <v>410922.74999999994</v>
      </c>
      <c r="K68" s="79">
        <v>410922.74999999994</v>
      </c>
      <c r="L68" s="79">
        <v>410922.74999999994</v>
      </c>
      <c r="M68" s="79">
        <v>410922.74999999994</v>
      </c>
      <c r="N68" s="53">
        <v>4931072.9999999991</v>
      </c>
    </row>
    <row r="69" spans="1:14">
      <c r="A69" s="124" t="s">
        <v>114</v>
      </c>
      <c r="B69" s="79">
        <f>N69/12</f>
        <v>486777.08333333326</v>
      </c>
      <c r="C69" s="79">
        <v>486777.08333333326</v>
      </c>
      <c r="D69" s="79">
        <v>486777.08333333326</v>
      </c>
      <c r="E69" s="79">
        <v>486777.08333333326</v>
      </c>
      <c r="F69" s="79">
        <v>486777.08333333326</v>
      </c>
      <c r="G69" s="79">
        <v>486777.08333333326</v>
      </c>
      <c r="H69" s="79">
        <v>486777.08333333326</v>
      </c>
      <c r="I69" s="79">
        <v>486777.08333333326</v>
      </c>
      <c r="J69" s="79">
        <v>486777.08333333326</v>
      </c>
      <c r="K69" s="79">
        <v>486777.08333333326</v>
      </c>
      <c r="L69" s="79">
        <v>486777.08333333326</v>
      </c>
      <c r="M69" s="79">
        <v>486777.08333333326</v>
      </c>
      <c r="N69" s="53">
        <v>5841324.9999999991</v>
      </c>
    </row>
    <row r="70" spans="1:14">
      <c r="A70" s="124" t="s">
        <v>8</v>
      </c>
      <c r="B70" s="79">
        <f>N70/12</f>
        <v>250000</v>
      </c>
      <c r="C70" s="79">
        <v>250000</v>
      </c>
      <c r="D70" s="79">
        <v>250000</v>
      </c>
      <c r="E70" s="79">
        <v>250000</v>
      </c>
      <c r="F70" s="79">
        <v>250000</v>
      </c>
      <c r="G70" s="79">
        <v>250000</v>
      </c>
      <c r="H70" s="79">
        <v>250000</v>
      </c>
      <c r="I70" s="79">
        <v>250000</v>
      </c>
      <c r="J70" s="79">
        <v>250000</v>
      </c>
      <c r="K70" s="79">
        <v>250000</v>
      </c>
      <c r="L70" s="79">
        <v>250000</v>
      </c>
      <c r="M70" s="79">
        <v>250000</v>
      </c>
      <c r="N70" s="53">
        <v>3000000</v>
      </c>
    </row>
    <row r="71" spans="1:14">
      <c r="A71" s="121" t="s">
        <v>167</v>
      </c>
      <c r="B71" s="79">
        <f t="shared" ref="B71:B72" si="17">N71/12</f>
        <v>250000</v>
      </c>
      <c r="C71" s="79">
        <v>250000</v>
      </c>
      <c r="D71" s="79">
        <v>250000</v>
      </c>
      <c r="E71" s="79">
        <v>250000</v>
      </c>
      <c r="F71" s="79">
        <v>250000</v>
      </c>
      <c r="G71" s="79">
        <v>250000</v>
      </c>
      <c r="H71" s="79">
        <v>250000</v>
      </c>
      <c r="I71" s="79">
        <v>250000</v>
      </c>
      <c r="J71" s="79">
        <v>250000</v>
      </c>
      <c r="K71" s="79">
        <v>250000</v>
      </c>
      <c r="L71" s="79">
        <v>250000</v>
      </c>
      <c r="M71" s="79">
        <v>250000</v>
      </c>
      <c r="N71" s="53">
        <v>3000000</v>
      </c>
    </row>
    <row r="72" spans="1:14">
      <c r="A72" s="121" t="s">
        <v>169</v>
      </c>
      <c r="B72" s="79">
        <f t="shared" si="17"/>
        <v>416666.66666666669</v>
      </c>
      <c r="C72" s="79">
        <v>416666.66666666669</v>
      </c>
      <c r="D72" s="79">
        <v>416666.66666666669</v>
      </c>
      <c r="E72" s="79">
        <v>416666.66666666669</v>
      </c>
      <c r="F72" s="79">
        <v>416666.66666666669</v>
      </c>
      <c r="G72" s="79">
        <v>416666.66666666669</v>
      </c>
      <c r="H72" s="79">
        <v>416666.66666666669</v>
      </c>
      <c r="I72" s="79">
        <v>416666.66666666669</v>
      </c>
      <c r="J72" s="79">
        <v>416666.66666666669</v>
      </c>
      <c r="K72" s="79">
        <v>416666.66666666669</v>
      </c>
      <c r="L72" s="79">
        <v>416666.66666666669</v>
      </c>
      <c r="M72" s="79">
        <v>416666.66666666669</v>
      </c>
      <c r="N72" s="53">
        <v>5000000</v>
      </c>
    </row>
    <row r="73" spans="1:14">
      <c r="A73" s="121" t="s">
        <v>115</v>
      </c>
      <c r="B73" s="79">
        <v>400000</v>
      </c>
      <c r="C73" s="79">
        <v>400000</v>
      </c>
      <c r="D73" s="79">
        <v>400000</v>
      </c>
      <c r="E73" s="79">
        <v>400000</v>
      </c>
      <c r="F73" s="79">
        <v>400000</v>
      </c>
      <c r="G73" s="79">
        <v>400000</v>
      </c>
      <c r="H73" s="79">
        <v>400000</v>
      </c>
      <c r="I73" s="79">
        <v>400000</v>
      </c>
      <c r="J73" s="79">
        <v>400000</v>
      </c>
      <c r="K73" s="79">
        <v>400000</v>
      </c>
      <c r="L73" s="79">
        <v>400000</v>
      </c>
      <c r="M73" s="79">
        <v>400000</v>
      </c>
      <c r="N73" s="98">
        <f>SUM(B73:M73)</f>
        <v>4800000</v>
      </c>
    </row>
    <row r="74" spans="1:14">
      <c r="A74" s="124" t="s">
        <v>189</v>
      </c>
      <c r="B74" s="79">
        <v>3024380</v>
      </c>
      <c r="C74" s="79">
        <v>3024380</v>
      </c>
      <c r="D74" s="79">
        <v>3024380</v>
      </c>
      <c r="E74" s="79">
        <v>3024380</v>
      </c>
      <c r="F74" s="79">
        <v>3024380</v>
      </c>
      <c r="G74" s="79">
        <v>3024380</v>
      </c>
      <c r="H74" s="79">
        <v>3024380</v>
      </c>
      <c r="I74" s="79">
        <v>3024380</v>
      </c>
      <c r="J74" s="79">
        <v>3024380</v>
      </c>
      <c r="K74" s="79">
        <v>3024380</v>
      </c>
      <c r="L74" s="79">
        <v>3024380</v>
      </c>
      <c r="M74" s="79">
        <v>3024380</v>
      </c>
      <c r="N74" s="98">
        <f>SUM(B74:M74)</f>
        <v>36292560</v>
      </c>
    </row>
    <row r="75" spans="1:14">
      <c r="A75" s="124" t="s">
        <v>116</v>
      </c>
      <c r="B75" s="79">
        <v>5000000</v>
      </c>
      <c r="C75" s="79">
        <v>5000000</v>
      </c>
      <c r="D75" s="79">
        <v>5000000</v>
      </c>
      <c r="E75" s="79">
        <v>5000000</v>
      </c>
      <c r="F75" s="79">
        <v>5000000</v>
      </c>
      <c r="G75" s="79">
        <v>5000000</v>
      </c>
      <c r="H75" s="79">
        <v>5000000</v>
      </c>
      <c r="I75" s="79">
        <v>5000000</v>
      </c>
      <c r="J75" s="79">
        <v>5000000</v>
      </c>
      <c r="K75" s="79">
        <v>5000000</v>
      </c>
      <c r="L75" s="79">
        <v>5000000</v>
      </c>
      <c r="M75" s="79">
        <v>5000000</v>
      </c>
      <c r="N75" s="53">
        <f>SUM(B75:M75)</f>
        <v>60000000</v>
      </c>
    </row>
    <row r="76" spans="1:14" s="1" customFormat="1">
      <c r="A76" s="125" t="s">
        <v>292</v>
      </c>
      <c r="B76" s="87">
        <f t="shared" ref="B76:N76" si="18">SUM(B51:B75)</f>
        <v>28827028.34333333</v>
      </c>
      <c r="C76" s="87">
        <f t="shared" si="18"/>
        <v>28827028.34333333</v>
      </c>
      <c r="D76" s="87">
        <f t="shared" si="18"/>
        <v>28827028.34333333</v>
      </c>
      <c r="E76" s="87">
        <f t="shared" si="18"/>
        <v>28827028.34333333</v>
      </c>
      <c r="F76" s="87">
        <f t="shared" si="18"/>
        <v>28827028.34333333</v>
      </c>
      <c r="G76" s="87">
        <f t="shared" si="18"/>
        <v>28827028.34333333</v>
      </c>
      <c r="H76" s="87">
        <f t="shared" si="18"/>
        <v>28827028.34333333</v>
      </c>
      <c r="I76" s="87">
        <f t="shared" si="18"/>
        <v>28827028.34333333</v>
      </c>
      <c r="J76" s="87">
        <f t="shared" si="18"/>
        <v>28827028.34333333</v>
      </c>
      <c r="K76" s="87">
        <f t="shared" si="18"/>
        <v>28827028.34333333</v>
      </c>
      <c r="L76" s="87">
        <f t="shared" si="18"/>
        <v>28827028.34333333</v>
      </c>
      <c r="M76" s="87">
        <f t="shared" si="18"/>
        <v>28827028.34333333</v>
      </c>
      <c r="N76" s="87">
        <f t="shared" si="18"/>
        <v>350674340.12</v>
      </c>
    </row>
    <row r="77" spans="1:14">
      <c r="A77" s="119" t="s">
        <v>117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98"/>
    </row>
    <row r="78" spans="1:14">
      <c r="A78" s="121" t="s">
        <v>118</v>
      </c>
      <c r="B78" s="79">
        <v>1250000</v>
      </c>
      <c r="C78" s="79">
        <v>1250000</v>
      </c>
      <c r="D78" s="79">
        <v>1250000</v>
      </c>
      <c r="E78" s="79">
        <v>1250000</v>
      </c>
      <c r="F78" s="79">
        <v>1250000</v>
      </c>
      <c r="G78" s="79">
        <v>1250000</v>
      </c>
      <c r="H78" s="79">
        <v>1250000</v>
      </c>
      <c r="I78" s="79">
        <v>1250000</v>
      </c>
      <c r="J78" s="79">
        <v>1250000</v>
      </c>
      <c r="K78" s="79">
        <v>1250000</v>
      </c>
      <c r="L78" s="79">
        <v>1250000</v>
      </c>
      <c r="M78" s="79">
        <v>1250000</v>
      </c>
      <c r="N78" s="53">
        <v>15000000</v>
      </c>
    </row>
    <row r="79" spans="1:14">
      <c r="A79" s="121" t="s">
        <v>119</v>
      </c>
      <c r="B79" s="79">
        <v>170000</v>
      </c>
      <c r="C79" s="79">
        <v>170000</v>
      </c>
      <c r="D79" s="79">
        <v>170000</v>
      </c>
      <c r="E79" s="79">
        <v>170000</v>
      </c>
      <c r="F79" s="79">
        <v>170000</v>
      </c>
      <c r="G79" s="79">
        <v>170000</v>
      </c>
      <c r="H79" s="79">
        <v>170000</v>
      </c>
      <c r="I79" s="79">
        <v>170000</v>
      </c>
      <c r="J79" s="79">
        <v>170000</v>
      </c>
      <c r="K79" s="79">
        <v>170000</v>
      </c>
      <c r="L79" s="79">
        <v>170000</v>
      </c>
      <c r="M79" s="79">
        <v>170000</v>
      </c>
      <c r="N79" s="53">
        <f>SUM(B79:M79)</f>
        <v>2040000</v>
      </c>
    </row>
    <row r="80" spans="1:14">
      <c r="A80" s="124" t="s">
        <v>168</v>
      </c>
      <c r="B80" s="79">
        <v>1080208.3366666667</v>
      </c>
      <c r="C80" s="79">
        <v>1080208.3366666667</v>
      </c>
      <c r="D80" s="79">
        <v>1080208.3366666699</v>
      </c>
      <c r="E80" s="79">
        <v>1080208.3366666667</v>
      </c>
      <c r="F80" s="79">
        <v>1080208.3366666667</v>
      </c>
      <c r="G80" s="79">
        <v>1080208.3366666667</v>
      </c>
      <c r="H80" s="79">
        <v>1080208.3366666667</v>
      </c>
      <c r="I80" s="79">
        <v>1080208.3366666667</v>
      </c>
      <c r="J80" s="79">
        <v>1080208.3366666667</v>
      </c>
      <c r="K80" s="79">
        <v>1080208.3366666667</v>
      </c>
      <c r="L80" s="79">
        <v>1080208.3366666667</v>
      </c>
      <c r="M80" s="79">
        <v>1080208.3366666667</v>
      </c>
      <c r="N80" s="53">
        <v>12962500.039999999</v>
      </c>
    </row>
    <row r="81" spans="1:14">
      <c r="A81" s="121" t="s">
        <v>120</v>
      </c>
      <c r="B81" s="79">
        <v>1084000</v>
      </c>
      <c r="C81" s="79">
        <v>1084000</v>
      </c>
      <c r="D81" s="79">
        <v>1084000</v>
      </c>
      <c r="E81" s="79">
        <v>1084000</v>
      </c>
      <c r="F81" s="79">
        <v>1084000</v>
      </c>
      <c r="G81" s="79">
        <v>1084000</v>
      </c>
      <c r="H81" s="79">
        <v>1084000</v>
      </c>
      <c r="I81" s="79">
        <v>1084000</v>
      </c>
      <c r="J81" s="79">
        <v>1084000</v>
      </c>
      <c r="K81" s="79">
        <v>1084000</v>
      </c>
      <c r="L81" s="79">
        <v>1084000</v>
      </c>
      <c r="M81" s="79">
        <v>1084000</v>
      </c>
      <c r="N81" s="53">
        <f>SUM(B81:M81)</f>
        <v>13008000</v>
      </c>
    </row>
    <row r="82" spans="1:14" ht="28">
      <c r="A82" s="121" t="s">
        <v>121</v>
      </c>
      <c r="B82" s="79">
        <v>300000</v>
      </c>
      <c r="C82" s="79">
        <v>300000</v>
      </c>
      <c r="D82" s="79">
        <v>300000</v>
      </c>
      <c r="E82" s="79">
        <v>300000</v>
      </c>
      <c r="F82" s="79">
        <v>300000</v>
      </c>
      <c r="G82" s="79">
        <v>300000</v>
      </c>
      <c r="H82" s="79">
        <v>300000</v>
      </c>
      <c r="I82" s="79">
        <v>300000</v>
      </c>
      <c r="J82" s="79">
        <v>300000</v>
      </c>
      <c r="K82" s="79">
        <v>300000</v>
      </c>
      <c r="L82" s="79">
        <v>300000</v>
      </c>
      <c r="M82" s="79">
        <v>300000</v>
      </c>
      <c r="N82" s="53">
        <f>SUM(B82:M82)</f>
        <v>3600000</v>
      </c>
    </row>
    <row r="83" spans="1:14">
      <c r="A83" s="121" t="s">
        <v>242</v>
      </c>
      <c r="B83" s="79">
        <v>3600000</v>
      </c>
      <c r="C83" s="79">
        <v>3600000</v>
      </c>
      <c r="D83" s="79">
        <v>3600000</v>
      </c>
      <c r="E83" s="79">
        <v>3600000</v>
      </c>
      <c r="F83" s="79">
        <v>3600000</v>
      </c>
      <c r="G83" s="79">
        <v>3600000</v>
      </c>
      <c r="H83" s="79">
        <v>3600000</v>
      </c>
      <c r="I83" s="79">
        <v>3600000</v>
      </c>
      <c r="J83" s="79">
        <v>3600000</v>
      </c>
      <c r="K83" s="79">
        <v>3600000</v>
      </c>
      <c r="L83" s="79">
        <v>3600000</v>
      </c>
      <c r="M83" s="79">
        <v>3600000</v>
      </c>
      <c r="N83" s="53">
        <f>SUM(B83:M83)</f>
        <v>43200000</v>
      </c>
    </row>
    <row r="84" spans="1:14">
      <c r="A84" s="121" t="s">
        <v>170</v>
      </c>
      <c r="B84" s="79">
        <f>N84/12</f>
        <v>758333.33333333337</v>
      </c>
      <c r="C84" s="79">
        <v>758333.33333333337</v>
      </c>
      <c r="D84" s="79">
        <v>758333.33333333337</v>
      </c>
      <c r="E84" s="79">
        <v>758333.33333333337</v>
      </c>
      <c r="F84" s="79">
        <v>758333.33333333337</v>
      </c>
      <c r="G84" s="79">
        <v>758333.33333333337</v>
      </c>
      <c r="H84" s="79">
        <v>758333.33333333337</v>
      </c>
      <c r="I84" s="79">
        <v>758333.33333333337</v>
      </c>
      <c r="J84" s="79">
        <v>758333.33333333337</v>
      </c>
      <c r="K84" s="79">
        <v>758333.33333333337</v>
      </c>
      <c r="L84" s="79">
        <v>758333.33333333337</v>
      </c>
      <c r="M84" s="79">
        <v>758333.33333333337</v>
      </c>
      <c r="N84" s="53">
        <v>9100000</v>
      </c>
    </row>
    <row r="85" spans="1:14" s="1" customFormat="1">
      <c r="A85" s="126" t="s">
        <v>122</v>
      </c>
      <c r="B85" s="87">
        <f>SUM(B78:B84)</f>
        <v>8242541.6699999999</v>
      </c>
      <c r="C85" s="87">
        <f t="shared" ref="C85:N85" si="19">SUM(C78:C84)</f>
        <v>8242541.6699999999</v>
      </c>
      <c r="D85" s="87">
        <f t="shared" si="19"/>
        <v>8242541.6700000027</v>
      </c>
      <c r="E85" s="87">
        <f t="shared" si="19"/>
        <v>8242541.6699999999</v>
      </c>
      <c r="F85" s="87">
        <f t="shared" si="19"/>
        <v>8242541.6699999999</v>
      </c>
      <c r="G85" s="87">
        <f t="shared" si="19"/>
        <v>8242541.6699999999</v>
      </c>
      <c r="H85" s="87">
        <f t="shared" si="19"/>
        <v>8242541.6699999999</v>
      </c>
      <c r="I85" s="87">
        <f t="shared" si="19"/>
        <v>8242541.6699999999</v>
      </c>
      <c r="J85" s="87">
        <f t="shared" si="19"/>
        <v>8242541.6699999999</v>
      </c>
      <c r="K85" s="87">
        <f t="shared" si="19"/>
        <v>8242541.6699999999</v>
      </c>
      <c r="L85" s="87">
        <f t="shared" si="19"/>
        <v>8242541.6699999999</v>
      </c>
      <c r="M85" s="87">
        <f t="shared" si="19"/>
        <v>8242541.6699999999</v>
      </c>
      <c r="N85" s="87">
        <f t="shared" si="19"/>
        <v>98910500.039999992</v>
      </c>
    </row>
    <row r="86" spans="1:14">
      <c r="A86" s="123" t="s">
        <v>123</v>
      </c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98"/>
    </row>
    <row r="87" spans="1:14">
      <c r="A87" s="121" t="s">
        <v>124</v>
      </c>
      <c r="B87" s="79">
        <f>N87/12</f>
        <v>73333.333333333343</v>
      </c>
      <c r="C87" s="79">
        <v>73333.333333333343</v>
      </c>
      <c r="D87" s="79">
        <v>73333.333333333343</v>
      </c>
      <c r="E87" s="79">
        <v>73333.333333333343</v>
      </c>
      <c r="F87" s="79">
        <v>73333.333333333343</v>
      </c>
      <c r="G87" s="79">
        <v>73333.333333333343</v>
      </c>
      <c r="H87" s="79">
        <v>73333.333333333343</v>
      </c>
      <c r="I87" s="79">
        <v>73333.333333333343</v>
      </c>
      <c r="J87" s="79">
        <v>73333.333333333343</v>
      </c>
      <c r="K87" s="79">
        <v>73333.333333333343</v>
      </c>
      <c r="L87" s="79">
        <v>73333.333333333343</v>
      </c>
      <c r="M87" s="79">
        <v>73333.333333333343</v>
      </c>
      <c r="N87" s="53">
        <v>880000.00000000012</v>
      </c>
    </row>
    <row r="88" spans="1:14">
      <c r="A88" s="121" t="s">
        <v>172</v>
      </c>
      <c r="B88" s="79">
        <f>N88/12</f>
        <v>125000</v>
      </c>
      <c r="C88" s="79">
        <v>125000</v>
      </c>
      <c r="D88" s="79">
        <v>125000</v>
      </c>
      <c r="E88" s="79">
        <v>125000</v>
      </c>
      <c r="F88" s="79">
        <v>125000</v>
      </c>
      <c r="G88" s="79">
        <v>125000</v>
      </c>
      <c r="H88" s="79">
        <v>125000</v>
      </c>
      <c r="I88" s="79">
        <v>125000</v>
      </c>
      <c r="J88" s="79">
        <v>125000</v>
      </c>
      <c r="K88" s="79">
        <v>125000</v>
      </c>
      <c r="L88" s="79">
        <v>125000</v>
      </c>
      <c r="M88" s="79">
        <v>125000</v>
      </c>
      <c r="N88" s="53">
        <v>1500000</v>
      </c>
    </row>
    <row r="89" spans="1:14">
      <c r="A89" s="121" t="s">
        <v>125</v>
      </c>
      <c r="B89" s="79">
        <v>431112.5</v>
      </c>
      <c r="C89" s="79">
        <v>431112.5</v>
      </c>
      <c r="D89" s="79">
        <v>431112.5</v>
      </c>
      <c r="E89" s="79">
        <v>431112.5</v>
      </c>
      <c r="F89" s="79">
        <v>431112.5</v>
      </c>
      <c r="G89" s="79">
        <v>431112.5</v>
      </c>
      <c r="H89" s="79">
        <v>431112.5</v>
      </c>
      <c r="I89" s="79">
        <v>431112.5</v>
      </c>
      <c r="J89" s="79">
        <v>431112.5</v>
      </c>
      <c r="K89" s="79">
        <v>431112.5</v>
      </c>
      <c r="L89" s="79">
        <v>431112.5</v>
      </c>
      <c r="M89" s="79">
        <v>431112.5</v>
      </c>
      <c r="N89" s="53">
        <v>5173350</v>
      </c>
    </row>
    <row r="90" spans="1:14" ht="28">
      <c r="A90" s="121" t="s">
        <v>126</v>
      </c>
      <c r="B90" s="79">
        <v>250000</v>
      </c>
      <c r="C90" s="79">
        <v>250000</v>
      </c>
      <c r="D90" s="79">
        <v>250000</v>
      </c>
      <c r="E90" s="79">
        <v>250000</v>
      </c>
      <c r="F90" s="79">
        <v>250000</v>
      </c>
      <c r="G90" s="79">
        <v>250000</v>
      </c>
      <c r="H90" s="79">
        <v>250000</v>
      </c>
      <c r="I90" s="79">
        <v>250000</v>
      </c>
      <c r="J90" s="79">
        <v>250000</v>
      </c>
      <c r="K90" s="79">
        <v>250000</v>
      </c>
      <c r="L90" s="79">
        <v>250000</v>
      </c>
      <c r="M90" s="79">
        <v>250000</v>
      </c>
      <c r="N90" s="53">
        <v>5173350</v>
      </c>
    </row>
    <row r="91" spans="1:14">
      <c r="A91" s="121" t="s">
        <v>173</v>
      </c>
      <c r="B91" s="79">
        <v>666166.66666666663</v>
      </c>
      <c r="C91" s="79">
        <v>666166.66666666663</v>
      </c>
      <c r="D91" s="79">
        <v>666166.66666666663</v>
      </c>
      <c r="E91" s="79">
        <v>666166.66666666663</v>
      </c>
      <c r="F91" s="79">
        <v>666166.66666666663</v>
      </c>
      <c r="G91" s="79">
        <v>666166.66666666663</v>
      </c>
      <c r="H91" s="79">
        <v>666166.66666666663</v>
      </c>
      <c r="I91" s="79">
        <v>666166.66666666663</v>
      </c>
      <c r="J91" s="79">
        <v>666166.66666666663</v>
      </c>
      <c r="K91" s="79">
        <v>666166.66666666663</v>
      </c>
      <c r="L91" s="79">
        <v>666166.66666666663</v>
      </c>
      <c r="M91" s="79">
        <v>666166.66666666663</v>
      </c>
      <c r="N91" s="53">
        <f>N11*2000</f>
        <v>9384000</v>
      </c>
    </row>
    <row r="92" spans="1:14">
      <c r="A92" s="121" t="s">
        <v>127</v>
      </c>
      <c r="B92" s="79">
        <f>N92/12</f>
        <v>166666.66666666666</v>
      </c>
      <c r="C92" s="79">
        <v>166666.66666666666</v>
      </c>
      <c r="D92" s="79">
        <v>166666.66666666666</v>
      </c>
      <c r="E92" s="79">
        <v>166666.66666666666</v>
      </c>
      <c r="F92" s="79">
        <v>166666.66666666666</v>
      </c>
      <c r="G92" s="79">
        <v>166666.66666666666</v>
      </c>
      <c r="H92" s="79">
        <v>166666.66666666666</v>
      </c>
      <c r="I92" s="79">
        <v>166666.66666666666</v>
      </c>
      <c r="J92" s="79">
        <v>166666.66666666666</v>
      </c>
      <c r="K92" s="79">
        <v>166666.66666666666</v>
      </c>
      <c r="L92" s="79">
        <v>166666.66666666666</v>
      </c>
      <c r="M92" s="79">
        <v>166666.66666666666</v>
      </c>
      <c r="N92" s="53">
        <v>2000000</v>
      </c>
    </row>
    <row r="93" spans="1:14" ht="28">
      <c r="A93" s="121" t="s">
        <v>128</v>
      </c>
      <c r="B93" s="79">
        <f t="shared" ref="B93:B94" si="20">N93/12</f>
        <v>166666.66666666666</v>
      </c>
      <c r="C93" s="79">
        <v>83333.333333333328</v>
      </c>
      <c r="D93" s="79">
        <v>83333.333333333328</v>
      </c>
      <c r="E93" s="79">
        <v>83333.333333333328</v>
      </c>
      <c r="F93" s="79">
        <v>83333.333333333328</v>
      </c>
      <c r="G93" s="79">
        <v>83333.333333333328</v>
      </c>
      <c r="H93" s="79">
        <v>83333.333333333328</v>
      </c>
      <c r="I93" s="79">
        <v>83333.333333333328</v>
      </c>
      <c r="J93" s="79">
        <v>83333.333333333328</v>
      </c>
      <c r="K93" s="79">
        <v>83333.333333333328</v>
      </c>
      <c r="L93" s="79">
        <v>83333.333333333328</v>
      </c>
      <c r="M93" s="79">
        <v>83333.333333333328</v>
      </c>
      <c r="N93" s="53">
        <v>2000000</v>
      </c>
    </row>
    <row r="94" spans="1:14">
      <c r="A94" s="121" t="s">
        <v>129</v>
      </c>
      <c r="B94" s="79">
        <f t="shared" si="20"/>
        <v>250000</v>
      </c>
      <c r="C94" s="79">
        <v>250000</v>
      </c>
      <c r="D94" s="79">
        <v>250000</v>
      </c>
      <c r="E94" s="79">
        <v>250000</v>
      </c>
      <c r="F94" s="79">
        <v>250000</v>
      </c>
      <c r="G94" s="79">
        <v>250000</v>
      </c>
      <c r="H94" s="79">
        <v>250000</v>
      </c>
      <c r="I94" s="79">
        <v>250000</v>
      </c>
      <c r="J94" s="79">
        <v>250000</v>
      </c>
      <c r="K94" s="79">
        <v>250000</v>
      </c>
      <c r="L94" s="79">
        <v>250000</v>
      </c>
      <c r="M94" s="79">
        <v>250000</v>
      </c>
      <c r="N94" s="53">
        <v>3000000</v>
      </c>
    </row>
    <row r="95" spans="1:14" ht="28.5">
      <c r="A95" s="127" t="s">
        <v>130</v>
      </c>
      <c r="B95" s="79">
        <v>1274400</v>
      </c>
      <c r="C95" s="79">
        <v>1274400</v>
      </c>
      <c r="D95" s="79">
        <v>1890528</v>
      </c>
      <c r="E95" s="79">
        <v>1890528</v>
      </c>
      <c r="F95" s="79">
        <v>1890528</v>
      </c>
      <c r="G95" s="79">
        <v>1890528</v>
      </c>
      <c r="H95" s="79">
        <v>1890528</v>
      </c>
      <c r="I95" s="79">
        <v>1890528</v>
      </c>
      <c r="J95" s="79">
        <v>1890528</v>
      </c>
      <c r="K95" s="79">
        <v>1890528</v>
      </c>
      <c r="L95" s="79">
        <v>1890528</v>
      </c>
      <c r="M95" s="79">
        <v>1890528</v>
      </c>
      <c r="N95" s="98">
        <f>SUM(B95:M95)</f>
        <v>21454080</v>
      </c>
    </row>
    <row r="96" spans="1:14">
      <c r="A96" s="128" t="s">
        <v>131</v>
      </c>
      <c r="B96" s="86">
        <f>SUM(B87:B95)</f>
        <v>3403345.8333333335</v>
      </c>
      <c r="C96" s="86">
        <f t="shared" ref="C96:N96" si="21">SUM(C87:C95)</f>
        <v>3320012.5</v>
      </c>
      <c r="D96" s="86">
        <f t="shared" si="21"/>
        <v>3936140.5</v>
      </c>
      <c r="E96" s="86">
        <f t="shared" si="21"/>
        <v>3936140.5</v>
      </c>
      <c r="F96" s="86">
        <f t="shared" si="21"/>
        <v>3936140.5</v>
      </c>
      <c r="G96" s="86">
        <f t="shared" si="21"/>
        <v>3936140.5</v>
      </c>
      <c r="H96" s="86">
        <f t="shared" si="21"/>
        <v>3936140.5</v>
      </c>
      <c r="I96" s="86">
        <f t="shared" si="21"/>
        <v>3936140.5</v>
      </c>
      <c r="J96" s="86">
        <f t="shared" si="21"/>
        <v>3936140.5</v>
      </c>
      <c r="K96" s="86">
        <f t="shared" si="21"/>
        <v>3936140.5</v>
      </c>
      <c r="L96" s="86">
        <f t="shared" si="21"/>
        <v>3936140.5</v>
      </c>
      <c r="M96" s="86">
        <f t="shared" si="21"/>
        <v>3936140.5</v>
      </c>
      <c r="N96" s="86">
        <f t="shared" si="21"/>
        <v>50564780</v>
      </c>
    </row>
    <row r="97" spans="1:14">
      <c r="A97" s="129" t="s">
        <v>132</v>
      </c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98"/>
    </row>
    <row r="98" spans="1:14">
      <c r="A98" s="124" t="s">
        <v>133</v>
      </c>
      <c r="B98" s="79">
        <f>N98/12</f>
        <v>6131602.833333333</v>
      </c>
      <c r="C98" s="79">
        <v>6131602.833333333</v>
      </c>
      <c r="D98" s="79">
        <v>6131602.833333333</v>
      </c>
      <c r="E98" s="79">
        <v>6131602.833333333</v>
      </c>
      <c r="F98" s="79">
        <v>6131602.833333333</v>
      </c>
      <c r="G98" s="79">
        <v>6131602.833333333</v>
      </c>
      <c r="H98" s="79">
        <v>6131602.833333333</v>
      </c>
      <c r="I98" s="79">
        <v>6131602.833333333</v>
      </c>
      <c r="J98" s="79">
        <v>6131602.833333333</v>
      </c>
      <c r="K98" s="79">
        <v>6131602.833333333</v>
      </c>
      <c r="L98" s="79">
        <v>6131602.833333333</v>
      </c>
      <c r="M98" s="79">
        <v>6131602.833333333</v>
      </c>
      <c r="N98" s="53">
        <v>73579234</v>
      </c>
    </row>
    <row r="99" spans="1:14">
      <c r="A99" s="124" t="s">
        <v>174</v>
      </c>
      <c r="B99" s="79">
        <f>N99/12</f>
        <v>6663195</v>
      </c>
      <c r="C99" s="79">
        <v>6663195</v>
      </c>
      <c r="D99" s="79">
        <v>6663195</v>
      </c>
      <c r="E99" s="79">
        <v>6663195</v>
      </c>
      <c r="F99" s="79">
        <v>6663195</v>
      </c>
      <c r="G99" s="79">
        <v>6663195</v>
      </c>
      <c r="H99" s="79">
        <v>6663195</v>
      </c>
      <c r="I99" s="79">
        <v>6663195</v>
      </c>
      <c r="J99" s="79">
        <v>6663195</v>
      </c>
      <c r="K99" s="79">
        <v>6663195</v>
      </c>
      <c r="L99" s="79">
        <v>6663195</v>
      </c>
      <c r="M99" s="79">
        <v>6663195</v>
      </c>
      <c r="N99" s="53">
        <v>79958340</v>
      </c>
    </row>
    <row r="100" spans="1:14">
      <c r="A100" s="130" t="s">
        <v>134</v>
      </c>
      <c r="B100" s="86">
        <f>B98+B99</f>
        <v>12794797.833333332</v>
      </c>
      <c r="C100" s="86">
        <f t="shared" ref="C100:N100" si="22">C98+C99</f>
        <v>12794797.833333332</v>
      </c>
      <c r="D100" s="86">
        <f t="shared" si="22"/>
        <v>12794797.833333332</v>
      </c>
      <c r="E100" s="86">
        <f t="shared" si="22"/>
        <v>12794797.833333332</v>
      </c>
      <c r="F100" s="86">
        <f t="shared" si="22"/>
        <v>12794797.833333332</v>
      </c>
      <c r="G100" s="86">
        <f t="shared" si="22"/>
        <v>12794797.833333332</v>
      </c>
      <c r="H100" s="86">
        <f t="shared" si="22"/>
        <v>12794797.833333332</v>
      </c>
      <c r="I100" s="86">
        <f t="shared" si="22"/>
        <v>12794797.833333332</v>
      </c>
      <c r="J100" s="86">
        <f t="shared" si="22"/>
        <v>12794797.833333332</v>
      </c>
      <c r="K100" s="86">
        <f t="shared" si="22"/>
        <v>12794797.833333332</v>
      </c>
      <c r="L100" s="86">
        <f t="shared" si="22"/>
        <v>12794797.833333332</v>
      </c>
      <c r="M100" s="86">
        <f t="shared" si="22"/>
        <v>12794797.833333332</v>
      </c>
      <c r="N100" s="86">
        <f t="shared" si="22"/>
        <v>153537574</v>
      </c>
    </row>
    <row r="101" spans="1:14">
      <c r="A101" s="131" t="s">
        <v>135</v>
      </c>
      <c r="B101" s="89">
        <f t="shared" ref="B101:N101" si="23">B100+B96+B85+B76+B49</f>
        <v>121420600.67999999</v>
      </c>
      <c r="C101" s="89">
        <f t="shared" si="23"/>
        <v>121337267.34666666</v>
      </c>
      <c r="D101" s="89">
        <f t="shared" si="23"/>
        <v>121953395.34666666</v>
      </c>
      <c r="E101" s="89">
        <f t="shared" si="23"/>
        <v>121953395.34666666</v>
      </c>
      <c r="F101" s="89">
        <f t="shared" si="23"/>
        <v>128149112.34666666</v>
      </c>
      <c r="G101" s="89">
        <f t="shared" si="23"/>
        <v>128149112.34666666</v>
      </c>
      <c r="H101" s="89">
        <f t="shared" si="23"/>
        <v>128149112.34666666</v>
      </c>
      <c r="I101" s="89">
        <f t="shared" si="23"/>
        <v>128149112.34666666</v>
      </c>
      <c r="J101" s="89">
        <f t="shared" si="23"/>
        <v>128149112.34666666</v>
      </c>
      <c r="K101" s="89">
        <f t="shared" si="23"/>
        <v>146736263.34666663</v>
      </c>
      <c r="L101" s="89">
        <f t="shared" si="23"/>
        <v>146736263.34666663</v>
      </c>
      <c r="M101" s="89">
        <f t="shared" si="23"/>
        <v>146736263.34666663</v>
      </c>
      <c r="N101" s="89">
        <f t="shared" si="23"/>
        <v>1576849027.1599998</v>
      </c>
    </row>
    <row r="102" spans="1:14">
      <c r="A102" s="132" t="s">
        <v>136</v>
      </c>
      <c r="B102" s="97">
        <f t="shared" ref="B102:N102" si="24">B41-B101</f>
        <v>49423297.097777799</v>
      </c>
      <c r="C102" s="97">
        <f t="shared" si="24"/>
        <v>49506630.431111097</v>
      </c>
      <c r="D102" s="97">
        <f t="shared" si="24"/>
        <v>48890502.431111097</v>
      </c>
      <c r="E102" s="97">
        <f t="shared" si="24"/>
        <v>48890502.431111097</v>
      </c>
      <c r="F102" s="97">
        <f t="shared" si="24"/>
        <v>61202747.653333306</v>
      </c>
      <c r="G102" s="97">
        <f t="shared" si="24"/>
        <v>61202747.653333306</v>
      </c>
      <c r="H102" s="97">
        <f t="shared" si="24"/>
        <v>61202747.653333306</v>
      </c>
      <c r="I102" s="97">
        <f t="shared" si="24"/>
        <v>61202747.653333306</v>
      </c>
      <c r="J102" s="97">
        <f t="shared" si="24"/>
        <v>74202747.653333306</v>
      </c>
      <c r="K102" s="97">
        <f t="shared" si="24"/>
        <v>72240596.653333336</v>
      </c>
      <c r="L102" s="97">
        <f t="shared" si="24"/>
        <v>72240596.653333336</v>
      </c>
      <c r="M102" s="97">
        <f t="shared" si="24"/>
        <v>72240596.653333336</v>
      </c>
      <c r="N102" s="97">
        <f t="shared" si="24"/>
        <v>729224406.17333317</v>
      </c>
    </row>
    <row r="103" spans="1:14">
      <c r="A103" s="120" t="s">
        <v>137</v>
      </c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98"/>
    </row>
    <row r="104" spans="1:14">
      <c r="A104" s="120" t="s">
        <v>138</v>
      </c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98"/>
    </row>
    <row r="105" spans="1:14">
      <c r="A105" s="124" t="s">
        <v>139</v>
      </c>
      <c r="B105" s="79">
        <f>N105/12</f>
        <v>833333.33333333337</v>
      </c>
      <c r="C105" s="79">
        <v>833333.33333333337</v>
      </c>
      <c r="D105" s="79">
        <v>833333.33333333337</v>
      </c>
      <c r="E105" s="79">
        <v>833333.33333333337</v>
      </c>
      <c r="F105" s="79">
        <v>833333.33333333337</v>
      </c>
      <c r="G105" s="79">
        <v>833333.33333333337</v>
      </c>
      <c r="H105" s="79">
        <v>833333.33333333337</v>
      </c>
      <c r="I105" s="79">
        <v>833333.33333333337</v>
      </c>
      <c r="J105" s="79">
        <v>833333.33333333337</v>
      </c>
      <c r="K105" s="79">
        <v>833333.33333333337</v>
      </c>
      <c r="L105" s="79">
        <v>833333.33333333337</v>
      </c>
      <c r="M105" s="79">
        <v>833333.33333333337</v>
      </c>
      <c r="N105" s="53">
        <v>10000000</v>
      </c>
    </row>
    <row r="106" spans="1:14" ht="28">
      <c r="A106" s="121" t="s">
        <v>293</v>
      </c>
      <c r="B106" s="79">
        <f t="shared" ref="B106:B108" si="25">N106/12</f>
        <v>1666666.6666666667</v>
      </c>
      <c r="C106" s="79">
        <v>1666666.6666666667</v>
      </c>
      <c r="D106" s="79">
        <v>1666666.6666666667</v>
      </c>
      <c r="E106" s="79">
        <v>1666666.6666666667</v>
      </c>
      <c r="F106" s="79">
        <v>1666666.6666666667</v>
      </c>
      <c r="G106" s="79">
        <v>1666666.6666666667</v>
      </c>
      <c r="H106" s="79">
        <v>1666666.6666666667</v>
      </c>
      <c r="I106" s="79">
        <v>1666666.6666666667</v>
      </c>
      <c r="J106" s="79">
        <v>1666666.6666666667</v>
      </c>
      <c r="K106" s="79">
        <v>1666666.6666666667</v>
      </c>
      <c r="L106" s="79">
        <v>1666666.6666666667</v>
      </c>
      <c r="M106" s="79">
        <v>1666666.6666666667</v>
      </c>
      <c r="N106" s="53">
        <v>20000000</v>
      </c>
    </row>
    <row r="107" spans="1:14">
      <c r="A107" s="121" t="s">
        <v>140</v>
      </c>
      <c r="B107" s="79">
        <f t="shared" si="25"/>
        <v>4166666.6666666665</v>
      </c>
      <c r="C107" s="79">
        <v>4166666.6666666665</v>
      </c>
      <c r="D107" s="79">
        <v>4166666.6666666665</v>
      </c>
      <c r="E107" s="79">
        <v>4166666.6666666665</v>
      </c>
      <c r="F107" s="79">
        <v>4166666.6666666665</v>
      </c>
      <c r="G107" s="79">
        <v>4166666.6666666665</v>
      </c>
      <c r="H107" s="79">
        <v>4166666.6666666665</v>
      </c>
      <c r="I107" s="79">
        <v>4166666.6666666665</v>
      </c>
      <c r="J107" s="79">
        <v>4166666.6666666665</v>
      </c>
      <c r="K107" s="79">
        <v>4166666.6666666665</v>
      </c>
      <c r="L107" s="79">
        <v>4166666.6666666665</v>
      </c>
      <c r="M107" s="79">
        <v>4166666.6666666665</v>
      </c>
      <c r="N107" s="53">
        <v>50000000</v>
      </c>
    </row>
    <row r="108" spans="1:14">
      <c r="A108" s="133" t="s">
        <v>141</v>
      </c>
      <c r="B108" s="79">
        <f t="shared" si="25"/>
        <v>9805883.1388888881</v>
      </c>
      <c r="C108" s="79">
        <v>9805883.1388888881</v>
      </c>
      <c r="D108" s="79">
        <v>9805883.1388888881</v>
      </c>
      <c r="E108" s="79">
        <v>9805883.1388888881</v>
      </c>
      <c r="F108" s="79">
        <v>9805883.1388888881</v>
      </c>
      <c r="G108" s="79">
        <v>9805883.1388888881</v>
      </c>
      <c r="H108" s="79">
        <v>9805883.1388888881</v>
      </c>
      <c r="I108" s="79">
        <v>9805883.1388888881</v>
      </c>
      <c r="J108" s="79">
        <v>9805883.1388888881</v>
      </c>
      <c r="K108" s="79">
        <v>9805883.1388888881</v>
      </c>
      <c r="L108" s="79">
        <v>9805883.1388888881</v>
      </c>
      <c r="M108" s="79">
        <v>9805883.1388888881</v>
      </c>
      <c r="N108" s="98">
        <f>N25*20%+40091131</f>
        <v>117670597.66666666</v>
      </c>
    </row>
    <row r="109" spans="1:14">
      <c r="A109" s="121" t="s">
        <v>295</v>
      </c>
      <c r="B109" s="79"/>
      <c r="C109" s="79"/>
      <c r="D109" s="79"/>
      <c r="E109" s="79">
        <f>8333333.33333333+8333333</f>
        <v>16666666.33333333</v>
      </c>
      <c r="F109" s="79">
        <v>16666666.33333333</v>
      </c>
      <c r="G109" s="79">
        <f>8333333.33333333+8333333+1</f>
        <v>16666667.33333333</v>
      </c>
      <c r="H109" s="79">
        <v>8333333.333333333</v>
      </c>
      <c r="I109" s="79">
        <v>8333333.333333333</v>
      </c>
      <c r="J109" s="79">
        <v>8333333.333333333</v>
      </c>
      <c r="K109" s="79">
        <v>8333333.333333333</v>
      </c>
      <c r="L109" s="79">
        <v>8333333.333333333</v>
      </c>
      <c r="M109" s="79">
        <v>8333333.3333333302</v>
      </c>
      <c r="N109" s="98">
        <v>100000000</v>
      </c>
    </row>
    <row r="110" spans="1:14">
      <c r="A110" s="127" t="s">
        <v>142</v>
      </c>
      <c r="B110" s="79"/>
      <c r="C110" s="79"/>
      <c r="D110" s="79"/>
      <c r="E110" s="79"/>
      <c r="F110" s="79"/>
      <c r="G110" s="79"/>
      <c r="H110" s="79"/>
      <c r="I110" s="79"/>
      <c r="J110" s="79">
        <f>N110</f>
        <v>2600000</v>
      </c>
      <c r="K110" s="79"/>
      <c r="L110" s="79"/>
      <c r="M110" s="79"/>
      <c r="N110" s="53">
        <f>260*10000</f>
        <v>2600000</v>
      </c>
    </row>
    <row r="111" spans="1:14" s="1" customFormat="1">
      <c r="A111" s="134" t="s">
        <v>143</v>
      </c>
      <c r="B111" s="87">
        <f t="shared" ref="B111:N111" si="26">SUM(B105:B110)</f>
        <v>16472549.805555554</v>
      </c>
      <c r="C111" s="87">
        <f t="shared" si="26"/>
        <v>16472549.805555554</v>
      </c>
      <c r="D111" s="87">
        <f t="shared" si="26"/>
        <v>16472549.805555554</v>
      </c>
      <c r="E111" s="87">
        <f t="shared" si="26"/>
        <v>33139216.138888884</v>
      </c>
      <c r="F111" s="87">
        <f t="shared" si="26"/>
        <v>33139216.138888884</v>
      </c>
      <c r="G111" s="87">
        <f t="shared" si="26"/>
        <v>33139217.138888884</v>
      </c>
      <c r="H111" s="87">
        <f t="shared" si="26"/>
        <v>24805883.138888888</v>
      </c>
      <c r="I111" s="87">
        <f t="shared" si="26"/>
        <v>24805883.138888888</v>
      </c>
      <c r="J111" s="87">
        <f t="shared" si="26"/>
        <v>27405883.138888888</v>
      </c>
      <c r="K111" s="87">
        <f t="shared" si="26"/>
        <v>24805883.138888888</v>
      </c>
      <c r="L111" s="87">
        <f t="shared" si="26"/>
        <v>24805883.138888888</v>
      </c>
      <c r="M111" s="87">
        <f t="shared" si="26"/>
        <v>24805883.138888884</v>
      </c>
      <c r="N111" s="87">
        <f t="shared" si="26"/>
        <v>300270597.66666663</v>
      </c>
    </row>
    <row r="112" spans="1:14">
      <c r="A112" s="135" t="s">
        <v>144</v>
      </c>
      <c r="N112" s="98"/>
    </row>
    <row r="113" spans="1:14">
      <c r="A113" s="136" t="s">
        <v>145</v>
      </c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98"/>
    </row>
    <row r="114" spans="1:14">
      <c r="A114" s="136" t="s">
        <v>146</v>
      </c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98"/>
    </row>
    <row r="115" spans="1:14">
      <c r="A115" s="136" t="s">
        <v>147</v>
      </c>
      <c r="B115" s="80">
        <f>N115/12</f>
        <v>4903054.916666667</v>
      </c>
      <c r="C115" s="80">
        <v>4903054.916666667</v>
      </c>
      <c r="D115" s="80">
        <v>4903054.916666667</v>
      </c>
      <c r="E115" s="80">
        <v>4903054.916666667</v>
      </c>
      <c r="F115" s="80">
        <v>4903054.916666667</v>
      </c>
      <c r="G115" s="80">
        <v>4903054.916666667</v>
      </c>
      <c r="H115" s="80">
        <v>4903054.916666667</v>
      </c>
      <c r="I115" s="80">
        <v>4903054.916666667</v>
      </c>
      <c r="J115" s="80">
        <v>4903054.916666667</v>
      </c>
      <c r="K115" s="80">
        <v>4903054.916666667</v>
      </c>
      <c r="L115" s="80">
        <v>4903054.916666667</v>
      </c>
      <c r="M115" s="80">
        <v>4903054.916666667</v>
      </c>
      <c r="N115" s="53">
        <v>58836659</v>
      </c>
    </row>
    <row r="116" spans="1:14">
      <c r="A116" s="136" t="s">
        <v>175</v>
      </c>
      <c r="B116" s="80">
        <f>N116/12</f>
        <v>5565350</v>
      </c>
      <c r="C116" s="80">
        <v>5565350</v>
      </c>
      <c r="D116" s="80">
        <v>5565350</v>
      </c>
      <c r="E116" s="80">
        <v>5565350</v>
      </c>
      <c r="F116" s="80">
        <v>5565350</v>
      </c>
      <c r="G116" s="80">
        <v>5565350</v>
      </c>
      <c r="H116" s="80">
        <v>5565350</v>
      </c>
      <c r="I116" s="80">
        <v>5565350</v>
      </c>
      <c r="J116" s="80">
        <v>5565350</v>
      </c>
      <c r="K116" s="80">
        <v>5565350</v>
      </c>
      <c r="L116" s="80">
        <v>5565350</v>
      </c>
      <c r="M116" s="80">
        <v>5565350</v>
      </c>
      <c r="N116" s="53">
        <v>66784200</v>
      </c>
    </row>
    <row r="117" spans="1:14">
      <c r="A117" s="136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53"/>
    </row>
    <row r="118" spans="1:14">
      <c r="A118" s="137" t="s">
        <v>148</v>
      </c>
      <c r="B118" s="78">
        <f>B113+B114+B115+B116+B117</f>
        <v>10468404.916666668</v>
      </c>
      <c r="C118" s="78">
        <f t="shared" ref="C118:M118" si="27">C113+C114+C115+C116+C117</f>
        <v>10468404.916666668</v>
      </c>
      <c r="D118" s="78">
        <f t="shared" si="27"/>
        <v>10468404.916666668</v>
      </c>
      <c r="E118" s="78">
        <f t="shared" si="27"/>
        <v>10468404.916666668</v>
      </c>
      <c r="F118" s="78">
        <f t="shared" si="27"/>
        <v>10468404.916666668</v>
      </c>
      <c r="G118" s="78">
        <f t="shared" si="27"/>
        <v>10468404.916666668</v>
      </c>
      <c r="H118" s="78">
        <f t="shared" si="27"/>
        <v>10468404.916666668</v>
      </c>
      <c r="I118" s="78">
        <f t="shared" si="27"/>
        <v>10468404.916666668</v>
      </c>
      <c r="J118" s="78">
        <f t="shared" si="27"/>
        <v>10468404.916666668</v>
      </c>
      <c r="K118" s="78">
        <f t="shared" si="27"/>
        <v>10468404.916666668</v>
      </c>
      <c r="L118" s="78">
        <f t="shared" si="27"/>
        <v>10468404.916666668</v>
      </c>
      <c r="M118" s="78">
        <f t="shared" si="27"/>
        <v>10468404.916666668</v>
      </c>
      <c r="N118" s="78">
        <f>N113+N114+N115+N116+N117</f>
        <v>125620859</v>
      </c>
    </row>
    <row r="119" spans="1:14">
      <c r="A119" s="135" t="s">
        <v>149</v>
      </c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</row>
    <row r="120" spans="1:14" ht="28">
      <c r="A120" s="136" t="s">
        <v>251</v>
      </c>
      <c r="B120" s="80">
        <v>2659956</v>
      </c>
      <c r="C120" s="80">
        <v>2659956</v>
      </c>
      <c r="D120" s="80">
        <v>2659956</v>
      </c>
      <c r="E120" s="80">
        <v>2659956</v>
      </c>
      <c r="F120" s="80">
        <v>2659956</v>
      </c>
      <c r="G120" s="80">
        <v>2659956</v>
      </c>
      <c r="H120" s="80">
        <v>2659956</v>
      </c>
      <c r="I120" s="80">
        <v>2659956</v>
      </c>
      <c r="J120" s="80">
        <v>2659956</v>
      </c>
      <c r="K120" s="80">
        <v>2659956</v>
      </c>
      <c r="L120" s="80">
        <v>2659956</v>
      </c>
      <c r="M120" s="80">
        <v>2659956</v>
      </c>
      <c r="N120" s="53">
        <f>SUM(B120:M120)</f>
        <v>31919472</v>
      </c>
    </row>
    <row r="121" spans="1:14">
      <c r="A121" s="138" t="s">
        <v>150</v>
      </c>
      <c r="B121" s="90">
        <f t="shared" ref="B121:B124" si="28">N121/12</f>
        <v>803358</v>
      </c>
      <c r="C121" s="90">
        <v>803358</v>
      </c>
      <c r="D121" s="90">
        <v>803358</v>
      </c>
      <c r="E121" s="90">
        <v>803358</v>
      </c>
      <c r="F121" s="90">
        <v>803358</v>
      </c>
      <c r="G121" s="90">
        <v>803358</v>
      </c>
      <c r="H121" s="90">
        <v>803358</v>
      </c>
      <c r="I121" s="90">
        <v>803358</v>
      </c>
      <c r="J121" s="90">
        <v>803358</v>
      </c>
      <c r="K121" s="90">
        <v>803358</v>
      </c>
      <c r="L121" s="90">
        <v>803358</v>
      </c>
      <c r="M121" s="90">
        <v>803358</v>
      </c>
      <c r="N121" s="53">
        <v>9640296</v>
      </c>
    </row>
    <row r="122" spans="1:14">
      <c r="A122" s="138" t="s">
        <v>151</v>
      </c>
      <c r="B122" s="90">
        <f t="shared" si="28"/>
        <v>3333333.3333333335</v>
      </c>
      <c r="C122" s="90">
        <v>4166666.6666666665</v>
      </c>
      <c r="D122" s="90">
        <v>4166666.6666666665</v>
      </c>
      <c r="E122" s="90">
        <v>4166666.6666666665</v>
      </c>
      <c r="F122" s="90">
        <v>4166666.6666666665</v>
      </c>
      <c r="G122" s="90">
        <v>4166666.6666666665</v>
      </c>
      <c r="H122" s="90">
        <v>4166666.6666666665</v>
      </c>
      <c r="I122" s="90">
        <v>4166666.6666666665</v>
      </c>
      <c r="J122" s="90">
        <v>4166666.6666666665</v>
      </c>
      <c r="K122" s="90">
        <v>4166666.6666666665</v>
      </c>
      <c r="L122" s="90">
        <v>4166666.6666666665</v>
      </c>
      <c r="M122" s="90">
        <v>4166666.6666666665</v>
      </c>
      <c r="N122" s="53">
        <v>40000000</v>
      </c>
    </row>
    <row r="123" spans="1:14">
      <c r="A123" s="139" t="s">
        <v>152</v>
      </c>
      <c r="B123" s="90">
        <f t="shared" si="28"/>
        <v>1763603.5770833327</v>
      </c>
      <c r="C123" s="90">
        <v>1763603.5770833327</v>
      </c>
      <c r="D123" s="90">
        <v>1763603.5770833327</v>
      </c>
      <c r="E123" s="90">
        <v>1763603.5770833327</v>
      </c>
      <c r="F123" s="90">
        <v>1763603.5770833327</v>
      </c>
      <c r="G123" s="90">
        <v>1763603.5770833327</v>
      </c>
      <c r="H123" s="90">
        <v>1763603.5770833327</v>
      </c>
      <c r="I123" s="90">
        <v>1763603.5770833327</v>
      </c>
      <c r="J123" s="90">
        <v>1763603.5770833327</v>
      </c>
      <c r="K123" s="90">
        <v>1763603.5770833327</v>
      </c>
      <c r="L123" s="90">
        <v>1763603.5770833327</v>
      </c>
      <c r="M123" s="90">
        <v>1763603.5770833327</v>
      </c>
      <c r="N123" s="53">
        <v>21163242.924999993</v>
      </c>
    </row>
    <row r="124" spans="1:14">
      <c r="A124" s="139" t="s">
        <v>153</v>
      </c>
      <c r="B124" s="90">
        <f t="shared" si="28"/>
        <v>660942.58333333337</v>
      </c>
      <c r="C124" s="90">
        <v>660942.58333333337</v>
      </c>
      <c r="D124" s="90">
        <v>660942.58333333337</v>
      </c>
      <c r="E124" s="90">
        <v>660942.58333333337</v>
      </c>
      <c r="F124" s="90">
        <v>660942.58333333337</v>
      </c>
      <c r="G124" s="90">
        <v>660942.58333333337</v>
      </c>
      <c r="H124" s="90">
        <v>660942.58333333337</v>
      </c>
      <c r="I124" s="90">
        <v>660942.58333333337</v>
      </c>
      <c r="J124" s="90">
        <v>660942.58333333337</v>
      </c>
      <c r="K124" s="90">
        <v>660942.58333333337</v>
      </c>
      <c r="L124" s="90">
        <v>660942.58333333337</v>
      </c>
      <c r="M124" s="90">
        <v>660942.58333333337</v>
      </c>
      <c r="N124" s="53">
        <v>7931311</v>
      </c>
    </row>
    <row r="125" spans="1:14">
      <c r="A125" s="141" t="s">
        <v>154</v>
      </c>
      <c r="B125" s="142">
        <f t="shared" ref="B125:N125" si="29">SUM(B120:B124)</f>
        <v>9221193.4937500004</v>
      </c>
      <c r="C125" s="142">
        <f t="shared" si="29"/>
        <v>10054526.827083332</v>
      </c>
      <c r="D125" s="142">
        <f t="shared" si="29"/>
        <v>10054526.827083332</v>
      </c>
      <c r="E125" s="142">
        <f t="shared" si="29"/>
        <v>10054526.827083332</v>
      </c>
      <c r="F125" s="142">
        <f t="shared" si="29"/>
        <v>10054526.827083332</v>
      </c>
      <c r="G125" s="142">
        <f t="shared" si="29"/>
        <v>10054526.827083332</v>
      </c>
      <c r="H125" s="142">
        <f t="shared" si="29"/>
        <v>10054526.827083332</v>
      </c>
      <c r="I125" s="142">
        <f t="shared" si="29"/>
        <v>10054526.827083332</v>
      </c>
      <c r="J125" s="142">
        <f t="shared" si="29"/>
        <v>10054526.827083332</v>
      </c>
      <c r="K125" s="142">
        <f t="shared" si="29"/>
        <v>10054526.827083332</v>
      </c>
      <c r="L125" s="142">
        <f t="shared" si="29"/>
        <v>10054526.827083332</v>
      </c>
      <c r="M125" s="142">
        <f t="shared" si="29"/>
        <v>10054526.827083332</v>
      </c>
      <c r="N125" s="145">
        <f t="shared" si="29"/>
        <v>110654321.925</v>
      </c>
    </row>
    <row r="126" spans="1:14">
      <c r="A126" s="143" t="s">
        <v>155</v>
      </c>
      <c r="B126" s="144">
        <f t="shared" ref="B126:N126" si="30">B102-B111-B118-B125</f>
        <v>13261148.881805578</v>
      </c>
      <c r="C126" s="144">
        <f t="shared" si="30"/>
        <v>12511148.881805545</v>
      </c>
      <c r="D126" s="144">
        <f t="shared" si="30"/>
        <v>11895020.881805545</v>
      </c>
      <c r="E126" s="144">
        <f t="shared" si="30"/>
        <v>-4771645.4515277874</v>
      </c>
      <c r="F126" s="144">
        <f t="shared" si="30"/>
        <v>7540599.7706944216</v>
      </c>
      <c r="G126" s="144">
        <f t="shared" si="30"/>
        <v>7540598.7706944216</v>
      </c>
      <c r="H126" s="144">
        <f t="shared" si="30"/>
        <v>15873932.770694418</v>
      </c>
      <c r="I126" s="144">
        <f t="shared" si="30"/>
        <v>15873932.770694418</v>
      </c>
      <c r="J126" s="144">
        <f t="shared" si="30"/>
        <v>26273932.77069442</v>
      </c>
      <c r="K126" s="144">
        <f t="shared" si="30"/>
        <v>26911781.77069445</v>
      </c>
      <c r="L126" s="144">
        <f t="shared" si="30"/>
        <v>26911781.77069445</v>
      </c>
      <c r="M126" s="144">
        <f t="shared" si="30"/>
        <v>26911781.77069445</v>
      </c>
      <c r="N126" s="146">
        <f t="shared" si="30"/>
        <v>192678627.58166653</v>
      </c>
    </row>
    <row r="127" spans="1:14">
      <c r="A127" s="139" t="s">
        <v>156</v>
      </c>
      <c r="B127" s="98">
        <v>248150445</v>
      </c>
    </row>
    <row r="128" spans="1:14">
      <c r="A128" s="140" t="s">
        <v>157</v>
      </c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7">
        <f>N126+B127</f>
        <v>440829072.58166653</v>
      </c>
    </row>
    <row r="130" spans="1:29">
      <c r="A130" s="106">
        <f>B44/B49</f>
        <v>0.54566469160148068</v>
      </c>
      <c r="B130" s="61">
        <v>61957170</v>
      </c>
      <c r="C130" s="88">
        <f>A130*B130</f>
        <v>33807840.060550511</v>
      </c>
    </row>
    <row r="131" spans="1:29">
      <c r="A131" s="106">
        <f>B45/B49</f>
        <v>0.13545408898138442</v>
      </c>
      <c r="B131" s="61">
        <v>61957170</v>
      </c>
      <c r="C131" s="88">
        <f t="shared" ref="C131:C134" si="31">A131*B131</f>
        <v>8392352.0182147603</v>
      </c>
    </row>
    <row r="132" spans="1:29">
      <c r="A132" s="106">
        <f>B46/B49</f>
        <v>0.25066364158423149</v>
      </c>
      <c r="B132" s="61">
        <v>61957170</v>
      </c>
      <c r="C132" s="88">
        <f t="shared" si="31"/>
        <v>15530409.854453299</v>
      </c>
    </row>
    <row r="133" spans="1:29">
      <c r="A133" s="106">
        <f>B47/B49</f>
        <v>4.80125027725892E-2</v>
      </c>
      <c r="B133" s="61">
        <v>61957170</v>
      </c>
      <c r="C133" s="88">
        <f t="shared" si="31"/>
        <v>2974718.7964067804</v>
      </c>
    </row>
    <row r="134" spans="1:29">
      <c r="A134" s="106">
        <f>B48/B49</f>
        <v>2.0205075060314246E-2</v>
      </c>
      <c r="B134" s="61">
        <v>61957170</v>
      </c>
      <c r="C134" s="88">
        <f t="shared" si="31"/>
        <v>1251849.2703746499</v>
      </c>
    </row>
    <row r="135" spans="1:29">
      <c r="A135" s="106">
        <f>SUM(A130:A134)</f>
        <v>1</v>
      </c>
    </row>
    <row r="137" spans="1:29" ht="15.5">
      <c r="A137" s="161"/>
      <c r="B137" s="162" t="s">
        <v>296</v>
      </c>
      <c r="C137" s="163" t="s">
        <v>297</v>
      </c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P137" s="106"/>
      <c r="AC137" s="1"/>
    </row>
    <row r="138" spans="1:29">
      <c r="A138" s="164" t="s">
        <v>298</v>
      </c>
      <c r="B138" s="166">
        <v>2492</v>
      </c>
      <c r="C138" s="167"/>
      <c r="D138" s="5"/>
      <c r="E138" s="5"/>
      <c r="F138" s="5"/>
      <c r="G138" s="5"/>
      <c r="H138" s="5"/>
      <c r="I138" s="5"/>
      <c r="J138" s="5"/>
      <c r="K138" s="4"/>
      <c r="L138" s="165"/>
      <c r="P138" s="106"/>
      <c r="AC138" s="1"/>
    </row>
    <row r="139" spans="1:29">
      <c r="A139" s="164" t="s">
        <v>299</v>
      </c>
      <c r="B139" s="166">
        <v>3442</v>
      </c>
      <c r="C139" s="167"/>
      <c r="D139" s="5"/>
      <c r="E139" s="5"/>
      <c r="F139" s="5"/>
      <c r="G139" s="5"/>
      <c r="H139" s="5"/>
      <c r="I139" s="5"/>
      <c r="J139" s="5"/>
      <c r="K139" s="4"/>
      <c r="L139" s="165"/>
      <c r="P139" s="106"/>
      <c r="AC139" s="1"/>
    </row>
    <row r="140" spans="1:29" ht="15.5">
      <c r="A140" s="168" t="s">
        <v>300</v>
      </c>
      <c r="B140" s="169">
        <f>B139-B138</f>
        <v>950</v>
      </c>
      <c r="C140" s="170">
        <f>B140/B138</f>
        <v>0.3812199036918138</v>
      </c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P140" s="106"/>
      <c r="AC140" s="1"/>
    </row>
  </sheetData>
  <mergeCells count="2">
    <mergeCell ref="B8:M8"/>
    <mergeCell ref="N8:Q8"/>
  </mergeCells>
  <phoneticPr fontId="9" type="noConversion"/>
  <pageMargins left="0.7" right="0.7" top="0.75" bottom="0.75" header="0.3" footer="0.3"/>
  <pageSetup scale="60" orientation="landscape" r:id="rId1"/>
  <ignoredErrors>
    <ignoredError sqref="N54 N5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abSelected="1" topLeftCell="A37" workbookViewId="0">
      <selection activeCell="A9" sqref="A9:N1048576"/>
    </sheetView>
  </sheetViews>
  <sheetFormatPr defaultRowHeight="14.5" zeroHeight="1"/>
  <cols>
    <col min="1" max="1" width="53.26953125" style="106" customWidth="1"/>
    <col min="2" max="2" width="17.81640625" hidden="1" customWidth="1"/>
    <col min="3" max="4" width="12.1796875" hidden="1" customWidth="1"/>
    <col min="5" max="6" width="12.54296875" hidden="1" customWidth="1"/>
    <col min="7" max="12" width="12.1796875" hidden="1" customWidth="1"/>
    <col min="13" max="13" width="8.54296875" hidden="1" customWidth="1"/>
    <col min="14" max="14" width="29" style="1" customWidth="1"/>
    <col min="15" max="15" width="9.7265625" bestFit="1" customWidth="1"/>
    <col min="16" max="16" width="12.54296875" bestFit="1" customWidth="1"/>
  </cols>
  <sheetData>
    <row r="1" spans="1:17" ht="23.5">
      <c r="A1" s="223" t="s">
        <v>304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1:17"/>
    <row r="3" spans="1:17" ht="15.5">
      <c r="A3" s="172"/>
      <c r="N3" s="209" t="s">
        <v>296</v>
      </c>
      <c r="O3" s="162" t="s">
        <v>297</v>
      </c>
    </row>
    <row r="4" spans="1:17">
      <c r="A4" s="4" t="s">
        <v>305</v>
      </c>
      <c r="N4" s="207">
        <v>3442</v>
      </c>
      <c r="O4" s="167"/>
    </row>
    <row r="5" spans="1:17">
      <c r="A5" s="4" t="s">
        <v>306</v>
      </c>
      <c r="N5" s="207">
        <v>4800</v>
      </c>
      <c r="O5" s="167"/>
    </row>
    <row r="6" spans="1:17">
      <c r="A6" s="1" t="s">
        <v>300</v>
      </c>
      <c r="N6" s="208">
        <f>N5-N4</f>
        <v>1358</v>
      </c>
      <c r="O6" s="173">
        <f>N6/N4</f>
        <v>0.3945380592678675</v>
      </c>
    </row>
    <row r="7" spans="1:17"/>
    <row r="8" spans="1:17" ht="15.5">
      <c r="B8" s="221" t="s">
        <v>294</v>
      </c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2"/>
      <c r="O8" s="222"/>
      <c r="P8" s="222"/>
      <c r="Q8" s="222"/>
    </row>
    <row r="9" spans="1:17">
      <c r="A9" s="197"/>
      <c r="B9" s="6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6" t="s">
        <v>15</v>
      </c>
      <c r="H9" s="6" t="s">
        <v>16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198" t="s">
        <v>261</v>
      </c>
    </row>
    <row r="10" spans="1:17">
      <c r="A10" s="199"/>
      <c r="B10" s="200" t="s">
        <v>0</v>
      </c>
      <c r="C10" s="200" t="s">
        <v>0</v>
      </c>
      <c r="D10" s="200" t="s">
        <v>0</v>
      </c>
      <c r="E10" s="200" t="s">
        <v>0</v>
      </c>
      <c r="F10" s="200" t="s">
        <v>0</v>
      </c>
      <c r="G10" s="200" t="s">
        <v>0</v>
      </c>
      <c r="H10" s="200" t="s">
        <v>0</v>
      </c>
      <c r="I10" s="200" t="s">
        <v>0</v>
      </c>
      <c r="J10" s="200" t="s">
        <v>0</v>
      </c>
      <c r="K10" s="200" t="s">
        <v>0</v>
      </c>
      <c r="L10" s="200" t="s">
        <v>0</v>
      </c>
      <c r="M10" s="200" t="s">
        <v>0</v>
      </c>
      <c r="N10" s="201" t="s">
        <v>0</v>
      </c>
    </row>
    <row r="11" spans="1:17">
      <c r="A11" s="174" t="s">
        <v>104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75">
        <v>4800</v>
      </c>
    </row>
    <row r="12" spans="1:17">
      <c r="A12" s="109" t="s">
        <v>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176"/>
    </row>
    <row r="13" spans="1:17">
      <c r="A13" s="177" t="s">
        <v>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78"/>
    </row>
    <row r="14" spans="1:17">
      <c r="A14" s="124" t="s">
        <v>89</v>
      </c>
      <c r="B14" s="80">
        <f>N14/12</f>
        <v>5208333.333333333</v>
      </c>
      <c r="C14" s="80">
        <v>5208333.333333333</v>
      </c>
      <c r="D14" s="80">
        <v>5208333.333333333</v>
      </c>
      <c r="E14" s="80">
        <v>5208333.333333333</v>
      </c>
      <c r="F14" s="80">
        <v>5208333.333333333</v>
      </c>
      <c r="G14" s="80">
        <v>5208333.333333333</v>
      </c>
      <c r="H14" s="80">
        <v>5208333.333333333</v>
      </c>
      <c r="I14" s="80">
        <v>5208333.333333333</v>
      </c>
      <c r="J14" s="80">
        <v>5208333.333333333</v>
      </c>
      <c r="K14" s="80">
        <v>5208333.333333333</v>
      </c>
      <c r="L14" s="80">
        <v>5208333.333333333</v>
      </c>
      <c r="M14" s="80">
        <v>5208333.333333333</v>
      </c>
      <c r="N14" s="179">
        <f>'INCOME DETAILS'!AB104</f>
        <v>62500000</v>
      </c>
    </row>
    <row r="15" spans="1:17">
      <c r="A15" s="124" t="s">
        <v>302</v>
      </c>
      <c r="B15" s="80">
        <f t="shared" ref="B15:B20" si="0">N15/12</f>
        <v>14843750</v>
      </c>
      <c r="C15" s="80">
        <v>17343750</v>
      </c>
      <c r="D15" s="80">
        <v>17343750</v>
      </c>
      <c r="E15" s="80">
        <v>17343750</v>
      </c>
      <c r="F15" s="80">
        <v>17343750</v>
      </c>
      <c r="G15" s="80">
        <v>17343750</v>
      </c>
      <c r="H15" s="80">
        <v>17343750</v>
      </c>
      <c r="I15" s="80">
        <v>17343750</v>
      </c>
      <c r="J15" s="80">
        <v>17343750</v>
      </c>
      <c r="K15" s="80">
        <v>17343750</v>
      </c>
      <c r="L15" s="80">
        <v>17343750</v>
      </c>
      <c r="M15" s="80">
        <v>17343750</v>
      </c>
      <c r="N15" s="179">
        <v>178125000</v>
      </c>
    </row>
    <row r="16" spans="1:17">
      <c r="A16" s="124" t="s">
        <v>91</v>
      </c>
      <c r="B16" s="80">
        <f>N16/12</f>
        <v>38207083.333333336</v>
      </c>
      <c r="C16" s="80">
        <v>46540416.666666664</v>
      </c>
      <c r="D16" s="80">
        <v>46540416.666666664</v>
      </c>
      <c r="E16" s="80">
        <v>46540416.666666664</v>
      </c>
      <c r="F16" s="80">
        <v>46540416.666666664</v>
      </c>
      <c r="G16" s="80">
        <v>46540416.666666664</v>
      </c>
      <c r="H16" s="80">
        <v>46540416.666666664</v>
      </c>
      <c r="I16" s="80">
        <v>46540416.666666664</v>
      </c>
      <c r="J16" s="80">
        <v>46540416.666666664</v>
      </c>
      <c r="K16" s="80">
        <v>46540416.666666664</v>
      </c>
      <c r="L16" s="80">
        <v>46540416.666666664</v>
      </c>
      <c r="M16" s="80">
        <v>46540416.666666664</v>
      </c>
      <c r="N16" s="179">
        <v>458485000</v>
      </c>
    </row>
    <row r="17" spans="1:14" ht="29">
      <c r="A17" s="124" t="s">
        <v>92</v>
      </c>
      <c r="B17" s="80">
        <f>N17/12</f>
        <v>2482666.6666666665</v>
      </c>
      <c r="C17" s="80">
        <v>2482666.6666666665</v>
      </c>
      <c r="D17" s="80">
        <v>2482666.6666666665</v>
      </c>
      <c r="E17" s="80">
        <v>2482666.6666666665</v>
      </c>
      <c r="F17" s="80">
        <v>2482666.6666666665</v>
      </c>
      <c r="G17" s="80">
        <v>2482666.6666666665</v>
      </c>
      <c r="H17" s="80">
        <v>2482666.6666666665</v>
      </c>
      <c r="I17" s="80">
        <v>2482666.6666666665</v>
      </c>
      <c r="J17" s="80">
        <v>2482666.6666666665</v>
      </c>
      <c r="K17" s="80">
        <v>2482666.6666666665</v>
      </c>
      <c r="L17" s="80">
        <v>2482666.6666666665</v>
      </c>
      <c r="M17" s="80">
        <v>2482666.6666666665</v>
      </c>
      <c r="N17" s="179">
        <f>'INCOME DETAILS'!AB117</f>
        <v>29792000</v>
      </c>
    </row>
    <row r="18" spans="1:14">
      <c r="A18" s="124" t="s">
        <v>301</v>
      </c>
      <c r="B18" s="80">
        <f t="shared" si="0"/>
        <v>13090000</v>
      </c>
      <c r="C18" s="80">
        <v>17256666.666666668</v>
      </c>
      <c r="D18" s="80">
        <v>17256666.666666668</v>
      </c>
      <c r="E18" s="80">
        <v>17256666.666666668</v>
      </c>
      <c r="F18" s="80">
        <v>17256666.666666668</v>
      </c>
      <c r="G18" s="80">
        <v>17256666.666666668</v>
      </c>
      <c r="H18" s="80">
        <v>17256666.666666668</v>
      </c>
      <c r="I18" s="80">
        <v>17256666.666666668</v>
      </c>
      <c r="J18" s="80">
        <v>17256666.666666668</v>
      </c>
      <c r="K18" s="80">
        <v>17256666.666666668</v>
      </c>
      <c r="L18" s="80">
        <v>17256666.666666668</v>
      </c>
      <c r="M18" s="80">
        <v>17256666.666666668</v>
      </c>
      <c r="N18" s="179">
        <v>157080000</v>
      </c>
    </row>
    <row r="19" spans="1:14">
      <c r="A19" s="124" t="s">
        <v>94</v>
      </c>
      <c r="B19" s="80">
        <f t="shared" si="0"/>
        <v>7187500</v>
      </c>
      <c r="C19" s="80">
        <v>7187500</v>
      </c>
      <c r="D19" s="80">
        <v>7187500</v>
      </c>
      <c r="E19" s="80">
        <v>7187500</v>
      </c>
      <c r="F19" s="80">
        <v>7187500</v>
      </c>
      <c r="G19" s="80">
        <v>7187500</v>
      </c>
      <c r="H19" s="80">
        <v>7187500</v>
      </c>
      <c r="I19" s="80">
        <v>7187500</v>
      </c>
      <c r="J19" s="80">
        <v>7187500</v>
      </c>
      <c r="K19" s="80">
        <v>7187500</v>
      </c>
      <c r="L19" s="80">
        <v>7187500</v>
      </c>
      <c r="M19" s="80">
        <v>7187500</v>
      </c>
      <c r="N19" s="179">
        <f>'INCOME DETAILS'!AB21</f>
        <v>86250000</v>
      </c>
    </row>
    <row r="20" spans="1:14">
      <c r="A20" s="124" t="s">
        <v>95</v>
      </c>
      <c r="B20" s="80">
        <f t="shared" si="0"/>
        <v>4114583.3333333335</v>
      </c>
      <c r="C20" s="80">
        <v>4114583.3333333335</v>
      </c>
      <c r="D20" s="80">
        <v>4114583.3333333335</v>
      </c>
      <c r="E20" s="80">
        <v>4114583.3333333335</v>
      </c>
      <c r="F20" s="80">
        <v>4114583.3333333335</v>
      </c>
      <c r="G20" s="80">
        <v>4114583.3333333335</v>
      </c>
      <c r="H20" s="80">
        <v>4114583.3333333335</v>
      </c>
      <c r="I20" s="80">
        <v>4114583.3333333335</v>
      </c>
      <c r="J20" s="80">
        <v>4114583.3333333335</v>
      </c>
      <c r="K20" s="80">
        <v>4114583.3333333335</v>
      </c>
      <c r="L20" s="80">
        <v>4114583.3333333335</v>
      </c>
      <c r="M20" s="80">
        <v>4114583.3333333335</v>
      </c>
      <c r="N20" s="179">
        <f>'INCOME DETAILS'!AB29</f>
        <v>49375000</v>
      </c>
    </row>
    <row r="21" spans="1:14">
      <c r="A21" s="124" t="s">
        <v>103</v>
      </c>
      <c r="K21" s="61">
        <f>N21/3</f>
        <v>5000000</v>
      </c>
      <c r="L21" s="61">
        <v>5000000</v>
      </c>
      <c r="M21" s="61">
        <v>5000000</v>
      </c>
      <c r="N21" s="179">
        <f>'INCOME DETAILS'!AB120</f>
        <v>15000000</v>
      </c>
    </row>
    <row r="22" spans="1:14">
      <c r="A22" s="124" t="s">
        <v>97</v>
      </c>
      <c r="B22" s="80"/>
      <c r="N22" s="180"/>
    </row>
    <row r="23" spans="1:14">
      <c r="A23" s="124" t="s">
        <v>181</v>
      </c>
      <c r="B23" s="80">
        <f>N23/12</f>
        <v>23065416.666666668</v>
      </c>
      <c r="C23" s="80">
        <v>23065416.666666668</v>
      </c>
      <c r="D23" s="80">
        <v>23065416.666666668</v>
      </c>
      <c r="E23" s="80">
        <v>23065416.666666668</v>
      </c>
      <c r="F23" s="80">
        <v>23065416.666666668</v>
      </c>
      <c r="G23" s="80">
        <v>23065416.666666668</v>
      </c>
      <c r="H23" s="80">
        <v>23065416.666666668</v>
      </c>
      <c r="I23" s="80">
        <v>23065416.666666668</v>
      </c>
      <c r="J23" s="80">
        <v>23065416.666666668</v>
      </c>
      <c r="K23" s="80">
        <v>23065416.666666668</v>
      </c>
      <c r="L23" s="80">
        <v>23065416.666666668</v>
      </c>
      <c r="M23" s="80">
        <v>23065416.666666668</v>
      </c>
      <c r="N23" s="179">
        <v>276785000</v>
      </c>
    </row>
    <row r="24" spans="1:14">
      <c r="A24" s="124" t="s">
        <v>96</v>
      </c>
      <c r="B24" s="80">
        <f t="shared" ref="B24" si="1">N24/12</f>
        <v>23991444.444444418</v>
      </c>
      <c r="C24" s="80">
        <v>32324777.77777775</v>
      </c>
      <c r="D24" s="80">
        <v>32324777.77777775</v>
      </c>
      <c r="E24" s="80">
        <v>32324777.77777775</v>
      </c>
      <c r="F24" s="80">
        <v>32324777.77777775</v>
      </c>
      <c r="G24" s="80">
        <v>32324777.77777775</v>
      </c>
      <c r="H24" s="80">
        <v>32324777.77777775</v>
      </c>
      <c r="I24" s="80">
        <v>32324777.77777775</v>
      </c>
      <c r="J24" s="80">
        <v>32324777.77777775</v>
      </c>
      <c r="K24" s="80">
        <v>32324777.77777775</v>
      </c>
      <c r="L24" s="80">
        <v>32324777.77777775</v>
      </c>
      <c r="M24" s="80">
        <v>32324777.77777775</v>
      </c>
      <c r="N24" s="180">
        <v>287897333.33333302</v>
      </c>
    </row>
    <row r="25" spans="1:14">
      <c r="A25" s="124" t="s">
        <v>79</v>
      </c>
      <c r="F25" s="80">
        <f>N25/9</f>
        <v>6007962.222222222</v>
      </c>
      <c r="G25" s="80">
        <v>6007962.222222222</v>
      </c>
      <c r="H25" s="80">
        <v>6007962.222222222</v>
      </c>
      <c r="I25" s="80">
        <v>6007962.222222222</v>
      </c>
      <c r="J25" s="80">
        <v>6007962.222222222</v>
      </c>
      <c r="K25" s="80">
        <v>6007962.222222222</v>
      </c>
      <c r="L25" s="80">
        <v>6007962.222222222</v>
      </c>
      <c r="M25" s="80">
        <v>6007962.222222222</v>
      </c>
      <c r="N25" s="180">
        <f>'INCOME DETAILS'!E140</f>
        <v>54071660</v>
      </c>
    </row>
    <row r="26" spans="1:14">
      <c r="A26" s="181" t="s">
        <v>98</v>
      </c>
      <c r="B26" s="74">
        <f t="shared" ref="B26:N26" si="2">SUM(B14:B25)</f>
        <v>132190777.77777776</v>
      </c>
      <c r="C26" s="74">
        <f t="shared" si="2"/>
        <v>155524111.1111111</v>
      </c>
      <c r="D26" s="74">
        <f t="shared" si="2"/>
        <v>155524111.1111111</v>
      </c>
      <c r="E26" s="74">
        <f t="shared" si="2"/>
        <v>155524111.1111111</v>
      </c>
      <c r="F26" s="74">
        <f t="shared" si="2"/>
        <v>161532073.33333331</v>
      </c>
      <c r="G26" s="74">
        <f t="shared" si="2"/>
        <v>161532073.33333331</v>
      </c>
      <c r="H26" s="74">
        <f t="shared" si="2"/>
        <v>161532073.33333331</v>
      </c>
      <c r="I26" s="74">
        <f t="shared" si="2"/>
        <v>161532073.33333331</v>
      </c>
      <c r="J26" s="74">
        <f t="shared" si="2"/>
        <v>161532073.33333331</v>
      </c>
      <c r="K26" s="74">
        <f t="shared" si="2"/>
        <v>166532073.33333331</v>
      </c>
      <c r="L26" s="74">
        <f t="shared" si="2"/>
        <v>166532073.33333331</v>
      </c>
      <c r="M26" s="74">
        <f t="shared" si="2"/>
        <v>166532073.33333331</v>
      </c>
      <c r="N26" s="180">
        <f t="shared" si="2"/>
        <v>1655360993.333333</v>
      </c>
    </row>
    <row r="27" spans="1:14">
      <c r="A27" s="124" t="s">
        <v>56</v>
      </c>
      <c r="B27" s="61">
        <f>N27/12</f>
        <v>795833.33333333337</v>
      </c>
      <c r="C27" s="80">
        <v>795833.33333333337</v>
      </c>
      <c r="D27" s="80">
        <v>795833.33333333337</v>
      </c>
      <c r="E27" s="80">
        <v>795833.33333333337</v>
      </c>
      <c r="F27" s="80">
        <v>795833.33333333337</v>
      </c>
      <c r="G27" s="80">
        <v>795833.33333333337</v>
      </c>
      <c r="H27" s="80">
        <v>795833.33333333337</v>
      </c>
      <c r="I27" s="80">
        <v>795833.33333333337</v>
      </c>
      <c r="J27" s="80">
        <v>795833.33333333337</v>
      </c>
      <c r="K27" s="80">
        <v>795833.33333333337</v>
      </c>
      <c r="L27" s="80">
        <v>795833.33333333337</v>
      </c>
      <c r="M27" s="80">
        <v>795833.33333333337</v>
      </c>
      <c r="N27" s="179">
        <f>'INCOME DETAILS'!AD121</f>
        <v>9550000</v>
      </c>
    </row>
    <row r="28" spans="1:14">
      <c r="A28" s="124" t="s">
        <v>59</v>
      </c>
      <c r="B28" s="80">
        <f>N28/12</f>
        <v>4840000</v>
      </c>
      <c r="C28" s="80">
        <v>2340000</v>
      </c>
      <c r="D28" s="80">
        <v>2340000</v>
      </c>
      <c r="E28" s="80">
        <v>2340000</v>
      </c>
      <c r="F28" s="80">
        <v>2340000</v>
      </c>
      <c r="G28" s="80">
        <v>2340000</v>
      </c>
      <c r="H28" s="80">
        <v>2340000</v>
      </c>
      <c r="I28" s="80">
        <v>2340000</v>
      </c>
      <c r="J28" s="80">
        <v>2340000</v>
      </c>
      <c r="K28" s="80">
        <v>2340000</v>
      </c>
      <c r="L28" s="80">
        <v>2340000</v>
      </c>
      <c r="M28" s="80">
        <v>2340000</v>
      </c>
      <c r="N28" s="179">
        <v>58080000</v>
      </c>
    </row>
    <row r="29" spans="1:14">
      <c r="A29" s="124" t="s">
        <v>99</v>
      </c>
      <c r="B29" s="80">
        <f>N29/12</f>
        <v>2225000</v>
      </c>
      <c r="C29" s="80">
        <v>2225000</v>
      </c>
      <c r="D29" s="80">
        <v>2225000</v>
      </c>
      <c r="E29" s="80">
        <v>2225000</v>
      </c>
      <c r="F29" s="80">
        <v>2225000</v>
      </c>
      <c r="G29" s="80">
        <v>2225000</v>
      </c>
      <c r="H29" s="80">
        <v>2225000</v>
      </c>
      <c r="I29" s="80">
        <v>2225000</v>
      </c>
      <c r="J29" s="80">
        <v>2225000</v>
      </c>
      <c r="K29" s="80">
        <v>2225000</v>
      </c>
      <c r="L29" s="80">
        <v>2225000</v>
      </c>
      <c r="M29" s="80">
        <v>2225000</v>
      </c>
      <c r="N29" s="179">
        <f>'INCOME DETAILS'!AF121</f>
        <v>26700000</v>
      </c>
    </row>
    <row r="30" spans="1:14">
      <c r="A30" s="124" t="s">
        <v>100</v>
      </c>
      <c r="J30" s="61">
        <f>N30</f>
        <v>13000000</v>
      </c>
      <c r="N30" s="179">
        <f>260*50000</f>
        <v>13000000</v>
      </c>
    </row>
    <row r="31" spans="1:14">
      <c r="A31" s="124" t="s">
        <v>5</v>
      </c>
      <c r="B31" s="61">
        <f>N31/12</f>
        <v>50820</v>
      </c>
      <c r="C31" s="61">
        <v>50820</v>
      </c>
      <c r="D31" s="61">
        <v>50820</v>
      </c>
      <c r="E31" s="61">
        <v>50820</v>
      </c>
      <c r="F31" s="61">
        <v>50820</v>
      </c>
      <c r="G31" s="61">
        <v>50820</v>
      </c>
      <c r="H31" s="61">
        <v>50820</v>
      </c>
      <c r="I31" s="61">
        <v>50820</v>
      </c>
      <c r="J31" s="61">
        <v>50820</v>
      </c>
      <c r="K31" s="61">
        <v>50820</v>
      </c>
      <c r="L31" s="61">
        <v>50820</v>
      </c>
      <c r="M31" s="61">
        <v>50820</v>
      </c>
      <c r="N31" s="179">
        <v>609840</v>
      </c>
    </row>
    <row r="32" spans="1:14">
      <c r="A32" s="121" t="s">
        <v>101</v>
      </c>
      <c r="B32" s="61">
        <f t="shared" ref="B32:B33" si="3">N32/12</f>
        <v>33333.333333333336</v>
      </c>
      <c r="C32" s="61">
        <v>33333.333333333336</v>
      </c>
      <c r="D32" s="61">
        <v>33333.333333333336</v>
      </c>
      <c r="E32" s="61">
        <v>33333.333333333336</v>
      </c>
      <c r="F32" s="61">
        <v>33333.333333333336</v>
      </c>
      <c r="G32" s="61">
        <v>33333.333333333336</v>
      </c>
      <c r="H32" s="61">
        <v>33333.333333333336</v>
      </c>
      <c r="I32" s="61">
        <v>33333.333333333336</v>
      </c>
      <c r="J32" s="61">
        <v>33333.333333333336</v>
      </c>
      <c r="K32" s="61">
        <v>33333.333333333336</v>
      </c>
      <c r="L32" s="61">
        <v>33333.333333333336</v>
      </c>
      <c r="M32" s="61">
        <v>33333.333333333336</v>
      </c>
      <c r="N32" s="179">
        <v>400000</v>
      </c>
    </row>
    <row r="33" spans="1:16">
      <c r="A33" s="121" t="s">
        <v>102</v>
      </c>
      <c r="B33" s="61">
        <f t="shared" si="3"/>
        <v>232466.66666666666</v>
      </c>
      <c r="C33" s="61">
        <v>232466.66666666666</v>
      </c>
      <c r="D33" s="61">
        <v>232466.66666666666</v>
      </c>
      <c r="E33" s="61">
        <v>232466.66666666666</v>
      </c>
      <c r="F33" s="61">
        <v>232466.66666666666</v>
      </c>
      <c r="G33" s="61">
        <v>232466.66666666666</v>
      </c>
      <c r="H33" s="61">
        <v>232466.66666666666</v>
      </c>
      <c r="I33" s="61">
        <v>232466.66666666666</v>
      </c>
      <c r="J33" s="61">
        <v>232466.66666666666</v>
      </c>
      <c r="K33" s="61">
        <v>232466.66666666666</v>
      </c>
      <c r="L33" s="61">
        <v>232466.66666666666</v>
      </c>
      <c r="M33" s="61">
        <v>232466.66666666666</v>
      </c>
      <c r="N33" s="179">
        <v>2789600</v>
      </c>
    </row>
    <row r="34" spans="1:16" s="1" customFormat="1">
      <c r="A34" s="130" t="s">
        <v>241</v>
      </c>
      <c r="B34" s="95">
        <f>SUM(B26:B33)</f>
        <v>140368231.1111111</v>
      </c>
      <c r="C34" s="95">
        <f t="shared" ref="C34:M34" si="4">SUM(C26:C33)</f>
        <v>161201564.44444445</v>
      </c>
      <c r="D34" s="95">
        <f t="shared" si="4"/>
        <v>161201564.44444445</v>
      </c>
      <c r="E34" s="95">
        <f t="shared" si="4"/>
        <v>161201564.44444445</v>
      </c>
      <c r="F34" s="95">
        <f t="shared" si="4"/>
        <v>167209526.66666666</v>
      </c>
      <c r="G34" s="95">
        <f t="shared" si="4"/>
        <v>167209526.66666666</v>
      </c>
      <c r="H34" s="95">
        <f t="shared" si="4"/>
        <v>167209526.66666666</v>
      </c>
      <c r="I34" s="95">
        <f t="shared" si="4"/>
        <v>167209526.66666666</v>
      </c>
      <c r="J34" s="95">
        <f t="shared" si="4"/>
        <v>180209526.66666666</v>
      </c>
      <c r="K34" s="95">
        <f t="shared" si="4"/>
        <v>172209526.66666666</v>
      </c>
      <c r="L34" s="95">
        <f t="shared" si="4"/>
        <v>172209526.66666666</v>
      </c>
      <c r="M34" s="95">
        <f t="shared" si="4"/>
        <v>172209526.66666666</v>
      </c>
      <c r="N34" s="182">
        <f>SUM(N26:N33)</f>
        <v>1766490433.333333</v>
      </c>
    </row>
    <row r="35" spans="1:16">
      <c r="A35" s="181" t="s">
        <v>4</v>
      </c>
      <c r="N35" s="180"/>
    </row>
    <row r="36" spans="1:16">
      <c r="A36" s="183" t="s">
        <v>240</v>
      </c>
      <c r="B36" s="184">
        <f>N36/12</f>
        <v>7480000</v>
      </c>
      <c r="C36" s="184">
        <v>1309000</v>
      </c>
      <c r="D36" s="184">
        <v>1309000</v>
      </c>
      <c r="E36" s="184">
        <v>1309000</v>
      </c>
      <c r="F36" s="184">
        <v>1309000</v>
      </c>
      <c r="G36" s="184">
        <v>1309000</v>
      </c>
      <c r="H36" s="184">
        <v>1309000</v>
      </c>
      <c r="I36" s="184">
        <v>1309000</v>
      </c>
      <c r="J36" s="184">
        <v>1309000</v>
      </c>
      <c r="K36" s="184">
        <v>1309000</v>
      </c>
      <c r="L36" s="184">
        <v>1309000</v>
      </c>
      <c r="M36" s="184">
        <v>1309000</v>
      </c>
      <c r="N36" s="179">
        <f>187*40000*12</f>
        <v>89760000</v>
      </c>
    </row>
    <row r="37" spans="1:16">
      <c r="A37" s="183" t="s">
        <v>312</v>
      </c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79">
        <v>100000000</v>
      </c>
    </row>
    <row r="38" spans="1:16">
      <c r="A38" s="183" t="s">
        <v>313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79">
        <f>1089876503.9/5</f>
        <v>217975300.78000003</v>
      </c>
    </row>
    <row r="39" spans="1:16">
      <c r="A39" s="183" t="s">
        <v>250</v>
      </c>
      <c r="B39" s="80"/>
      <c r="C39" s="80"/>
      <c r="D39" s="80"/>
      <c r="E39" s="80"/>
      <c r="F39" s="80">
        <f>N39/8</f>
        <v>25000000</v>
      </c>
      <c r="G39" s="80">
        <v>25000000</v>
      </c>
      <c r="H39" s="80">
        <v>25000000</v>
      </c>
      <c r="I39" s="80">
        <v>25000000</v>
      </c>
      <c r="J39" s="80">
        <v>25000000</v>
      </c>
      <c r="K39" s="80">
        <v>25000000</v>
      </c>
      <c r="L39" s="80">
        <v>25000000</v>
      </c>
      <c r="M39" s="80">
        <v>25000000</v>
      </c>
      <c r="N39" s="179">
        <v>200000000</v>
      </c>
    </row>
    <row r="40" spans="1:16" s="1" customFormat="1">
      <c r="A40" s="185" t="s">
        <v>248</v>
      </c>
      <c r="B40" s="87">
        <f>B36+B39</f>
        <v>7480000</v>
      </c>
      <c r="C40" s="87">
        <f t="shared" ref="C40:M40" si="5">C36+C39</f>
        <v>1309000</v>
      </c>
      <c r="D40" s="87">
        <f t="shared" si="5"/>
        <v>1309000</v>
      </c>
      <c r="E40" s="87">
        <f t="shared" si="5"/>
        <v>1309000</v>
      </c>
      <c r="F40" s="87">
        <f t="shared" si="5"/>
        <v>26309000</v>
      </c>
      <c r="G40" s="87">
        <f t="shared" si="5"/>
        <v>26309000</v>
      </c>
      <c r="H40" s="87">
        <f t="shared" si="5"/>
        <v>26309000</v>
      </c>
      <c r="I40" s="87">
        <f t="shared" si="5"/>
        <v>26309000</v>
      </c>
      <c r="J40" s="87">
        <f t="shared" si="5"/>
        <v>26309000</v>
      </c>
      <c r="K40" s="87">
        <f t="shared" si="5"/>
        <v>26309000</v>
      </c>
      <c r="L40" s="87">
        <f t="shared" si="5"/>
        <v>26309000</v>
      </c>
      <c r="M40" s="87">
        <f t="shared" si="5"/>
        <v>26309000</v>
      </c>
      <c r="N40" s="186">
        <f>N36+N39+N37+N38</f>
        <v>607735300.77999997</v>
      </c>
    </row>
    <row r="41" spans="1:16">
      <c r="A41" s="204" t="s">
        <v>249</v>
      </c>
      <c r="B41" s="205">
        <f t="shared" ref="B41:N41" si="6">B40+B34</f>
        <v>147848231.1111111</v>
      </c>
      <c r="C41" s="205">
        <f t="shared" si="6"/>
        <v>162510564.44444445</v>
      </c>
      <c r="D41" s="205">
        <f t="shared" si="6"/>
        <v>162510564.44444445</v>
      </c>
      <c r="E41" s="205">
        <f t="shared" si="6"/>
        <v>162510564.44444445</v>
      </c>
      <c r="F41" s="205">
        <f t="shared" si="6"/>
        <v>193518526.66666666</v>
      </c>
      <c r="G41" s="205">
        <f t="shared" si="6"/>
        <v>193518526.66666666</v>
      </c>
      <c r="H41" s="205">
        <f t="shared" si="6"/>
        <v>193518526.66666666</v>
      </c>
      <c r="I41" s="205">
        <f t="shared" si="6"/>
        <v>193518526.66666666</v>
      </c>
      <c r="J41" s="205">
        <f t="shared" si="6"/>
        <v>206518526.66666666</v>
      </c>
      <c r="K41" s="205">
        <f t="shared" si="6"/>
        <v>198518526.66666666</v>
      </c>
      <c r="L41" s="205">
        <f t="shared" si="6"/>
        <v>198518526.66666666</v>
      </c>
      <c r="M41" s="205">
        <f t="shared" si="6"/>
        <v>198518526.66666666</v>
      </c>
      <c r="N41" s="206">
        <f t="shared" si="6"/>
        <v>2374225734.1133327</v>
      </c>
    </row>
    <row r="42" spans="1:16">
      <c r="A42" s="119" t="s">
        <v>6</v>
      </c>
      <c r="N42" s="180"/>
    </row>
    <row r="43" spans="1:16">
      <c r="A43" s="120" t="s">
        <v>158</v>
      </c>
      <c r="N43" s="180"/>
    </row>
    <row r="44" spans="1:16">
      <c r="A44" s="121" t="s">
        <v>159</v>
      </c>
      <c r="B44" s="79">
        <f>33807840.0605505*110%</f>
        <v>37188624.06660556</v>
      </c>
      <c r="C44" s="79">
        <f>33807840.0605505*110%</f>
        <v>37188624.06660556</v>
      </c>
      <c r="D44" s="79">
        <f>33807840.0605505*110%</f>
        <v>37188624.06660556</v>
      </c>
      <c r="E44" s="79">
        <f>33807840.0605505*110%</f>
        <v>37188624.06660556</v>
      </c>
      <c r="F44" s="79">
        <f>33807840.0605505*120%</f>
        <v>40569408.072660603</v>
      </c>
      <c r="G44" s="79">
        <f>33807840.0605505*120%</f>
        <v>40569408.072660603</v>
      </c>
      <c r="H44" s="79">
        <f>33807840.0605505*120%</f>
        <v>40569408.072660603</v>
      </c>
      <c r="I44" s="79">
        <f>33807840.0605505*120%</f>
        <v>40569408.072660603</v>
      </c>
      <c r="J44" s="79">
        <f>33807840.0605505*120%</f>
        <v>40569408.072660603</v>
      </c>
      <c r="K44" s="79">
        <f t="shared" ref="K44:M44" si="7">33807840.0605505*150%</f>
        <v>50711760.090825751</v>
      </c>
      <c r="L44" s="79">
        <f t="shared" si="7"/>
        <v>50711760.090825751</v>
      </c>
      <c r="M44" s="79">
        <f t="shared" si="7"/>
        <v>50711760.090825751</v>
      </c>
      <c r="N44" s="180">
        <f>SUM(B44:M44)</f>
        <v>503736816.90220249</v>
      </c>
    </row>
    <row r="45" spans="1:16">
      <c r="A45" s="121" t="s">
        <v>160</v>
      </c>
      <c r="B45" s="79">
        <f>8392352.01821476*110%</f>
        <v>9231587.2200362366</v>
      </c>
      <c r="C45" s="79">
        <f>8392352.01821476*110%</f>
        <v>9231587.2200362366</v>
      </c>
      <c r="D45" s="79">
        <f>8392352.01821476*110%</f>
        <v>9231587.2200362366</v>
      </c>
      <c r="E45" s="79">
        <f>8392352.01821476*110%</f>
        <v>9231587.2200362366</v>
      </c>
      <c r="F45" s="79">
        <f>8392352.01821476*120%</f>
        <v>10070822.421857713</v>
      </c>
      <c r="G45" s="79">
        <f>8392352.01821476*120%</f>
        <v>10070822.421857713</v>
      </c>
      <c r="H45" s="79">
        <f>8392352.01821476*120%</f>
        <v>10070822.421857713</v>
      </c>
      <c r="I45" s="79">
        <f>8392352.01821476*120%</f>
        <v>10070822.421857713</v>
      </c>
      <c r="J45" s="79">
        <f>8392352.01821476*120%</f>
        <v>10070822.421857713</v>
      </c>
      <c r="K45" s="79">
        <f t="shared" ref="K45:M45" si="8">8392352.01821476*150%</f>
        <v>12588528.02732214</v>
      </c>
      <c r="L45" s="79">
        <f t="shared" si="8"/>
        <v>12588528.02732214</v>
      </c>
      <c r="M45" s="79">
        <f t="shared" si="8"/>
        <v>12588528.02732214</v>
      </c>
      <c r="N45" s="180">
        <f>SUM(B45:M45)</f>
        <v>125046045.07139994</v>
      </c>
    </row>
    <row r="46" spans="1:16">
      <c r="A46" s="121" t="s">
        <v>161</v>
      </c>
      <c r="B46" s="80">
        <f>15530409.8544533*110%</f>
        <v>17083450.839898631</v>
      </c>
      <c r="C46" s="80">
        <f>15530409.8544533*110%</f>
        <v>17083450.839898631</v>
      </c>
      <c r="D46" s="80">
        <f>15530409.8544533*110%</f>
        <v>17083450.839898631</v>
      </c>
      <c r="E46" s="80">
        <f>15530409.8544533*110%</f>
        <v>17083450.839898631</v>
      </c>
      <c r="F46" s="80">
        <f>15530409.8544533*120%</f>
        <v>18636491.825343959</v>
      </c>
      <c r="G46" s="80">
        <f>15530409.8544533*120%</f>
        <v>18636491.825343959</v>
      </c>
      <c r="H46" s="80">
        <f>15530409.8544533*120%</f>
        <v>18636491.825343959</v>
      </c>
      <c r="I46" s="80">
        <f>15530409.8544533*120%</f>
        <v>18636491.825343959</v>
      </c>
      <c r="J46" s="80">
        <f>15530409.8544533*120%</f>
        <v>18636491.825343959</v>
      </c>
      <c r="K46" s="80">
        <f t="shared" ref="K46:M46" si="9">15530409.8544533*150%</f>
        <v>23295614.781679951</v>
      </c>
      <c r="L46" s="80">
        <f t="shared" si="9"/>
        <v>23295614.781679951</v>
      </c>
      <c r="M46" s="80">
        <f t="shared" si="9"/>
        <v>23295614.781679951</v>
      </c>
      <c r="N46" s="179">
        <f>SUM(B46:M46)</f>
        <v>231403106.83135423</v>
      </c>
    </row>
    <row r="47" spans="1:16">
      <c r="A47" s="121" t="s">
        <v>274</v>
      </c>
      <c r="B47" s="80">
        <f>2974718.79640678*110%</f>
        <v>3272190.6760474583</v>
      </c>
      <c r="C47" s="80">
        <f>2974718.79640678*110%</f>
        <v>3272190.6760474583</v>
      </c>
      <c r="D47" s="80">
        <f>2974718.79640678*110%</f>
        <v>3272190.6760474583</v>
      </c>
      <c r="E47" s="80">
        <f>2974718.79640678*110%</f>
        <v>3272190.6760474583</v>
      </c>
      <c r="F47" s="80">
        <f>2974718.79640678*120%</f>
        <v>3569662.5556881358</v>
      </c>
      <c r="G47" s="80">
        <f>2974718.79640678*120%</f>
        <v>3569662.5556881358</v>
      </c>
      <c r="H47" s="80">
        <f>2974718.79640678*120%</f>
        <v>3569662.5556881358</v>
      </c>
      <c r="I47" s="80">
        <f>2974718.79640678*120%</f>
        <v>3569662.5556881358</v>
      </c>
      <c r="J47" s="80">
        <f>2974718.79640678*120%</f>
        <v>3569662.5556881358</v>
      </c>
      <c r="K47" s="80">
        <f t="shared" ref="K47:M47" si="10">2974718.79640678*150%</f>
        <v>4462078.1946101701</v>
      </c>
      <c r="L47" s="80">
        <f t="shared" si="10"/>
        <v>4462078.1946101701</v>
      </c>
      <c r="M47" s="80">
        <f t="shared" si="10"/>
        <v>4462078.1946101701</v>
      </c>
      <c r="N47" s="179">
        <f>SUM(B47:M47)</f>
        <v>44323310.066461019</v>
      </c>
    </row>
    <row r="48" spans="1:16">
      <c r="A48" s="121" t="s">
        <v>162</v>
      </c>
      <c r="B48" s="79">
        <f>1251849.27037465*110%</f>
        <v>1377034.1974121151</v>
      </c>
      <c r="C48" s="79">
        <f>1251849.27037465*110%</f>
        <v>1377034.1974121151</v>
      </c>
      <c r="D48" s="79">
        <f>1251849.27037465*110%</f>
        <v>1377034.1974121151</v>
      </c>
      <c r="E48" s="79">
        <f>1251849.27037465*110%</f>
        <v>1377034.1974121151</v>
      </c>
      <c r="F48" s="79">
        <f>1251849.27037465*120%</f>
        <v>1502219.1244495797</v>
      </c>
      <c r="G48" s="79">
        <f>1251849.27037465*120%</f>
        <v>1502219.1244495797</v>
      </c>
      <c r="H48" s="79">
        <f>1251849.27037465*120%</f>
        <v>1502219.1244495797</v>
      </c>
      <c r="I48" s="79">
        <f>1251849.27037465*120%</f>
        <v>1502219.1244495797</v>
      </c>
      <c r="J48" s="79">
        <f>1251849.27037465*120%</f>
        <v>1502219.1244495797</v>
      </c>
      <c r="K48" s="79">
        <f t="shared" ref="K48:M48" si="11">1251849.27037465*150%</f>
        <v>1877773.9055619747</v>
      </c>
      <c r="L48" s="79">
        <f t="shared" si="11"/>
        <v>1877773.9055619747</v>
      </c>
      <c r="M48" s="79">
        <f t="shared" si="11"/>
        <v>1877773.9055619747</v>
      </c>
      <c r="N48" s="179">
        <f>SUM(B48:M48)</f>
        <v>18652554.12858228</v>
      </c>
      <c r="P48" s="90"/>
    </row>
    <row r="49" spans="1:14" s="1" customFormat="1">
      <c r="A49" s="126" t="s">
        <v>163</v>
      </c>
      <c r="B49" s="202">
        <f>SUM(B44:B48)</f>
        <v>68152887</v>
      </c>
      <c r="C49" s="202">
        <f t="shared" ref="C49:M49" si="12">SUM(C44:C48)</f>
        <v>68152887</v>
      </c>
      <c r="D49" s="202">
        <f t="shared" si="12"/>
        <v>68152887</v>
      </c>
      <c r="E49" s="202">
        <f t="shared" si="12"/>
        <v>68152887</v>
      </c>
      <c r="F49" s="202">
        <f t="shared" si="12"/>
        <v>74348604</v>
      </c>
      <c r="G49" s="202">
        <f t="shared" si="12"/>
        <v>74348604</v>
      </c>
      <c r="H49" s="202">
        <f t="shared" si="12"/>
        <v>74348604</v>
      </c>
      <c r="I49" s="202">
        <f t="shared" si="12"/>
        <v>74348604</v>
      </c>
      <c r="J49" s="202">
        <f t="shared" si="12"/>
        <v>74348604</v>
      </c>
      <c r="K49" s="202">
        <f t="shared" si="12"/>
        <v>92935754.99999997</v>
      </c>
      <c r="L49" s="202">
        <f t="shared" si="12"/>
        <v>92935754.99999997</v>
      </c>
      <c r="M49" s="202">
        <f t="shared" si="12"/>
        <v>92935754.99999997</v>
      </c>
      <c r="N49" s="203">
        <f>SUM(N44:N48)</f>
        <v>923161832.99999988</v>
      </c>
    </row>
    <row r="50" spans="1:14">
      <c r="A50" s="213" t="s">
        <v>105</v>
      </c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5"/>
    </row>
    <row r="51" spans="1:14">
      <c r="A51" s="121" t="s">
        <v>106</v>
      </c>
      <c r="B51" s="85">
        <v>210000</v>
      </c>
      <c r="C51" s="85">
        <v>210000</v>
      </c>
      <c r="D51" s="85">
        <v>210000</v>
      </c>
      <c r="E51" s="85">
        <v>210000</v>
      </c>
      <c r="F51" s="85">
        <v>210000</v>
      </c>
      <c r="G51" s="85">
        <v>210000</v>
      </c>
      <c r="H51" s="85">
        <v>210000</v>
      </c>
      <c r="I51" s="85">
        <v>210000</v>
      </c>
      <c r="J51" s="85">
        <v>210000</v>
      </c>
      <c r="K51" s="85">
        <v>210000</v>
      </c>
      <c r="L51" s="85">
        <v>210000</v>
      </c>
      <c r="M51" s="85">
        <v>210000</v>
      </c>
      <c r="N51" s="187">
        <f>SUM(B51:M51)</f>
        <v>2520000</v>
      </c>
    </row>
    <row r="52" spans="1:14">
      <c r="A52" s="121" t="s">
        <v>303</v>
      </c>
      <c r="B52" s="85">
        <v>1579180</v>
      </c>
      <c r="C52" s="85">
        <v>1579180</v>
      </c>
      <c r="D52" s="85">
        <v>1579180</v>
      </c>
      <c r="E52" s="85">
        <v>1579180</v>
      </c>
      <c r="F52" s="85">
        <v>1579180</v>
      </c>
      <c r="G52" s="85">
        <v>1579180</v>
      </c>
      <c r="H52" s="85">
        <v>1579180</v>
      </c>
      <c r="I52" s="85">
        <v>1579180</v>
      </c>
      <c r="J52" s="85">
        <v>1579180</v>
      </c>
      <c r="K52" s="85">
        <v>1579180</v>
      </c>
      <c r="L52" s="85">
        <v>1579180</v>
      </c>
      <c r="M52" s="85">
        <v>1579180</v>
      </c>
      <c r="N52" s="187">
        <f>SUM(B52:M52)</f>
        <v>18950160</v>
      </c>
    </row>
    <row r="53" spans="1:14">
      <c r="A53" s="121" t="s">
        <v>107</v>
      </c>
      <c r="B53" s="79">
        <f>720000+55000</f>
        <v>775000</v>
      </c>
      <c r="C53" s="79">
        <f t="shared" ref="C53:M53" si="13">720000+55000</f>
        <v>775000</v>
      </c>
      <c r="D53" s="79">
        <f t="shared" si="13"/>
        <v>775000</v>
      </c>
      <c r="E53" s="79">
        <f t="shared" si="13"/>
        <v>775000</v>
      </c>
      <c r="F53" s="79">
        <f t="shared" si="13"/>
        <v>775000</v>
      </c>
      <c r="G53" s="79">
        <f t="shared" si="13"/>
        <v>775000</v>
      </c>
      <c r="H53" s="79">
        <f t="shared" si="13"/>
        <v>775000</v>
      </c>
      <c r="I53" s="79">
        <f t="shared" si="13"/>
        <v>775000</v>
      </c>
      <c r="J53" s="79">
        <f t="shared" si="13"/>
        <v>775000</v>
      </c>
      <c r="K53" s="79">
        <f t="shared" si="13"/>
        <v>775000</v>
      </c>
      <c r="L53" s="79">
        <f t="shared" si="13"/>
        <v>775000</v>
      </c>
      <c r="M53" s="79">
        <f t="shared" si="13"/>
        <v>775000</v>
      </c>
      <c r="N53" s="180">
        <f>SUM(B53:M53)</f>
        <v>9300000</v>
      </c>
    </row>
    <row r="54" spans="1:14">
      <c r="A54" s="121" t="s">
        <v>164</v>
      </c>
      <c r="B54" s="79">
        <v>1342035</v>
      </c>
      <c r="C54" s="79">
        <v>1342035</v>
      </c>
      <c r="D54" s="79">
        <v>1342035</v>
      </c>
      <c r="E54" s="79">
        <v>1342035</v>
      </c>
      <c r="F54" s="79">
        <v>1342035</v>
      </c>
      <c r="G54" s="79">
        <v>1342035</v>
      </c>
      <c r="H54" s="79">
        <v>1342035</v>
      </c>
      <c r="I54" s="79">
        <v>1342035</v>
      </c>
      <c r="J54" s="79">
        <v>1342035</v>
      </c>
      <c r="K54" s="79">
        <v>1342035</v>
      </c>
      <c r="L54" s="79">
        <v>1342035</v>
      </c>
      <c r="M54" s="79">
        <v>1342035</v>
      </c>
      <c r="N54" s="180">
        <f>SUM(B54:M54)</f>
        <v>16104420</v>
      </c>
    </row>
    <row r="55" spans="1:14">
      <c r="A55" s="121" t="s">
        <v>108</v>
      </c>
      <c r="B55" s="79">
        <f>N55/12</f>
        <v>1280603.3999999999</v>
      </c>
      <c r="C55" s="79">
        <v>1280603.3999999999</v>
      </c>
      <c r="D55" s="79">
        <v>1280603.3999999999</v>
      </c>
      <c r="E55" s="79">
        <v>1280603.3999999999</v>
      </c>
      <c r="F55" s="79">
        <v>1280603.3999999999</v>
      </c>
      <c r="G55" s="79">
        <v>1280603.3999999999</v>
      </c>
      <c r="H55" s="79">
        <v>1280603.3999999999</v>
      </c>
      <c r="I55" s="79">
        <v>1280603.3999999999</v>
      </c>
      <c r="J55" s="79">
        <v>1280603.3999999999</v>
      </c>
      <c r="K55" s="79">
        <v>1280603.3999999999</v>
      </c>
      <c r="L55" s="79">
        <v>1280603.3999999999</v>
      </c>
      <c r="M55" s="79">
        <v>1280603.3999999999</v>
      </c>
      <c r="N55" s="179">
        <f>(12234658+571376)*120%</f>
        <v>15367240.799999999</v>
      </c>
    </row>
    <row r="56" spans="1:14">
      <c r="A56" s="121" t="s">
        <v>252</v>
      </c>
      <c r="B56" s="79">
        <v>800000</v>
      </c>
      <c r="C56" s="79">
        <v>800000</v>
      </c>
      <c r="D56" s="79">
        <v>800000</v>
      </c>
      <c r="E56" s="79">
        <v>800000</v>
      </c>
      <c r="F56" s="79">
        <v>800000</v>
      </c>
      <c r="G56" s="79">
        <v>800000</v>
      </c>
      <c r="H56" s="79">
        <v>800000</v>
      </c>
      <c r="I56" s="79">
        <v>800000</v>
      </c>
      <c r="J56" s="79">
        <v>800000</v>
      </c>
      <c r="K56" s="79">
        <v>800000</v>
      </c>
      <c r="L56" s="79">
        <v>800000</v>
      </c>
      <c r="M56" s="79">
        <v>800000</v>
      </c>
      <c r="N56" s="179">
        <f>SUM(B56:M56)</f>
        <v>9600000</v>
      </c>
    </row>
    <row r="57" spans="1:14">
      <c r="A57" s="121" t="s">
        <v>109</v>
      </c>
      <c r="B57" s="79">
        <v>2020000</v>
      </c>
      <c r="C57" s="79">
        <v>2020000</v>
      </c>
      <c r="D57" s="79">
        <v>2020000</v>
      </c>
      <c r="E57" s="79">
        <v>2020000</v>
      </c>
      <c r="F57" s="79">
        <v>2020000</v>
      </c>
      <c r="G57" s="79">
        <v>2020000</v>
      </c>
      <c r="H57" s="79">
        <v>2020000</v>
      </c>
      <c r="I57" s="79">
        <v>2020000</v>
      </c>
      <c r="J57" s="79">
        <v>2020000</v>
      </c>
      <c r="K57" s="79">
        <v>2020000</v>
      </c>
      <c r="L57" s="79">
        <v>2020000</v>
      </c>
      <c r="M57" s="79">
        <v>2020000</v>
      </c>
      <c r="N57" s="180">
        <f>SUM(B57:M57)</f>
        <v>24240000</v>
      </c>
    </row>
    <row r="58" spans="1:14">
      <c r="A58" s="121" t="s">
        <v>111</v>
      </c>
      <c r="B58" s="79">
        <v>3999855</v>
      </c>
      <c r="C58" s="79">
        <v>3999855</v>
      </c>
      <c r="D58" s="79">
        <v>3999855</v>
      </c>
      <c r="E58" s="79">
        <v>3999855</v>
      </c>
      <c r="F58" s="79">
        <v>3999855</v>
      </c>
      <c r="G58" s="79">
        <v>3999855</v>
      </c>
      <c r="H58" s="79">
        <v>3999855</v>
      </c>
      <c r="I58" s="79">
        <v>3999855</v>
      </c>
      <c r="J58" s="79">
        <v>3999855</v>
      </c>
      <c r="K58" s="79">
        <v>3999855</v>
      </c>
      <c r="L58" s="79">
        <v>3999855</v>
      </c>
      <c r="M58" s="79">
        <v>3999855</v>
      </c>
      <c r="N58" s="180">
        <f>SUM(B58:M58)</f>
        <v>47998260</v>
      </c>
    </row>
    <row r="59" spans="1:14">
      <c r="A59" s="121" t="s">
        <v>9</v>
      </c>
      <c r="B59" s="79">
        <f>N59/12</f>
        <v>99705.599999999991</v>
      </c>
      <c r="C59" s="79">
        <v>99705.599999999991</v>
      </c>
      <c r="D59" s="79">
        <v>99705.599999999991</v>
      </c>
      <c r="E59" s="79">
        <v>99705.599999999991</v>
      </c>
      <c r="F59" s="79">
        <v>99705.599999999991</v>
      </c>
      <c r="G59" s="79">
        <v>99705.599999999991</v>
      </c>
      <c r="H59" s="79">
        <v>99705.599999999991</v>
      </c>
      <c r="I59" s="79">
        <v>99705.599999999991</v>
      </c>
      <c r="J59" s="79">
        <v>99705.599999999991</v>
      </c>
      <c r="K59" s="79">
        <v>99705.599999999991</v>
      </c>
      <c r="L59" s="79">
        <v>99705.599999999991</v>
      </c>
      <c r="M59" s="79">
        <v>99705.599999999991</v>
      </c>
      <c r="N59" s="180">
        <f>997056*120%</f>
        <v>1196467.2</v>
      </c>
    </row>
    <row r="60" spans="1:14">
      <c r="A60" s="121" t="s">
        <v>110</v>
      </c>
      <c r="B60" s="79">
        <f>N60/12</f>
        <v>14640</v>
      </c>
      <c r="C60" s="79">
        <v>14640</v>
      </c>
      <c r="D60" s="79">
        <v>14640</v>
      </c>
      <c r="E60" s="79">
        <v>14640</v>
      </c>
      <c r="F60" s="79">
        <v>14640</v>
      </c>
      <c r="G60" s="79">
        <v>14640</v>
      </c>
      <c r="H60" s="79">
        <v>14640</v>
      </c>
      <c r="I60" s="79">
        <v>14640</v>
      </c>
      <c r="J60" s="79">
        <v>14640</v>
      </c>
      <c r="K60" s="79">
        <v>14640</v>
      </c>
      <c r="L60" s="79">
        <v>14640</v>
      </c>
      <c r="M60" s="79">
        <v>14640</v>
      </c>
      <c r="N60" s="180">
        <f>146400*120%</f>
        <v>175680</v>
      </c>
    </row>
    <row r="61" spans="1:14">
      <c r="A61" s="121" t="s">
        <v>290</v>
      </c>
      <c r="B61" s="85">
        <v>3294272.8349999995</v>
      </c>
      <c r="C61" s="85">
        <v>3294272.8349999995</v>
      </c>
      <c r="D61" s="85">
        <v>3294272.8349999995</v>
      </c>
      <c r="E61" s="85">
        <v>3294272.8349999995</v>
      </c>
      <c r="F61" s="85">
        <v>3294272.8349999995</v>
      </c>
      <c r="G61" s="85">
        <v>3294272.8349999995</v>
      </c>
      <c r="H61" s="85">
        <v>3294272.8349999995</v>
      </c>
      <c r="I61" s="85">
        <v>3294272.8349999995</v>
      </c>
      <c r="J61" s="85">
        <v>3294272.8349999995</v>
      </c>
      <c r="K61" s="85">
        <v>3294272.8349999995</v>
      </c>
      <c r="L61" s="85">
        <v>3294272.8349999995</v>
      </c>
      <c r="M61" s="85">
        <v>3294272.8349999995</v>
      </c>
      <c r="N61" s="180">
        <v>39531274.019999996</v>
      </c>
    </row>
    <row r="62" spans="1:14">
      <c r="A62" s="121" t="s">
        <v>291</v>
      </c>
      <c r="B62" s="79">
        <v>1172273.2583333331</v>
      </c>
      <c r="C62" s="79">
        <v>1172273.2583333331</v>
      </c>
      <c r="D62" s="79">
        <v>1172273.2583333331</v>
      </c>
      <c r="E62" s="79">
        <v>1172273.2583333331</v>
      </c>
      <c r="F62" s="79">
        <v>1172273.2583333331</v>
      </c>
      <c r="G62" s="79">
        <v>1172273.2583333331</v>
      </c>
      <c r="H62" s="79">
        <v>1172273.2583333331</v>
      </c>
      <c r="I62" s="79">
        <v>1172273.2583333331</v>
      </c>
      <c r="J62" s="79">
        <v>1172273.2583333331</v>
      </c>
      <c r="K62" s="79">
        <v>1172273.2583333331</v>
      </c>
      <c r="L62" s="79">
        <v>1172273.2583333331</v>
      </c>
      <c r="M62" s="79">
        <v>1172273.2583333331</v>
      </c>
      <c r="N62" s="180">
        <f t="shared" ref="N62" si="14">SUM(B62:M62)</f>
        <v>14067279.099999996</v>
      </c>
    </row>
    <row r="63" spans="1:14">
      <c r="A63" s="121" t="s">
        <v>112</v>
      </c>
      <c r="B63" s="79">
        <f>500000+400000+50000</f>
        <v>950000</v>
      </c>
      <c r="C63" s="79">
        <f t="shared" ref="C63:M63" si="15">500000+400000+50000</f>
        <v>950000</v>
      </c>
      <c r="D63" s="79">
        <f t="shared" si="15"/>
        <v>950000</v>
      </c>
      <c r="E63" s="79">
        <f t="shared" si="15"/>
        <v>950000</v>
      </c>
      <c r="F63" s="79">
        <f t="shared" si="15"/>
        <v>950000</v>
      </c>
      <c r="G63" s="79">
        <f t="shared" si="15"/>
        <v>950000</v>
      </c>
      <c r="H63" s="79">
        <f t="shared" si="15"/>
        <v>950000</v>
      </c>
      <c r="I63" s="79">
        <f t="shared" si="15"/>
        <v>950000</v>
      </c>
      <c r="J63" s="79">
        <f t="shared" si="15"/>
        <v>950000</v>
      </c>
      <c r="K63" s="79">
        <f t="shared" si="15"/>
        <v>950000</v>
      </c>
      <c r="L63" s="79">
        <f t="shared" si="15"/>
        <v>950000</v>
      </c>
      <c r="M63" s="79">
        <f t="shared" si="15"/>
        <v>950000</v>
      </c>
      <c r="N63" s="180">
        <f>SUM(B63:M63)</f>
        <v>11400000</v>
      </c>
    </row>
    <row r="64" spans="1:14">
      <c r="A64" s="121" t="s">
        <v>165</v>
      </c>
      <c r="B64" s="79">
        <v>1038333.3333333334</v>
      </c>
      <c r="C64" s="79">
        <v>1038333.3333333334</v>
      </c>
      <c r="D64" s="79">
        <v>1038333.3333333334</v>
      </c>
      <c r="E64" s="79">
        <v>1038333.3333333334</v>
      </c>
      <c r="F64" s="79">
        <v>1038333.3333333334</v>
      </c>
      <c r="G64" s="79">
        <v>1038333.3333333334</v>
      </c>
      <c r="H64" s="79">
        <v>1038333.3333333334</v>
      </c>
      <c r="I64" s="79">
        <v>1038333.3333333334</v>
      </c>
      <c r="J64" s="79">
        <v>1038333.3333333334</v>
      </c>
      <c r="K64" s="79">
        <v>1038333.3333333334</v>
      </c>
      <c r="L64" s="79">
        <v>1038333.3333333334</v>
      </c>
      <c r="M64" s="79">
        <v>1038333.3333333334</v>
      </c>
      <c r="N64" s="180">
        <f>'INCOME DETAILS'!X124</f>
        <v>17210000</v>
      </c>
    </row>
    <row r="65" spans="1:14">
      <c r="A65" s="121" t="s">
        <v>244</v>
      </c>
      <c r="B65" s="79">
        <f>N65/12</f>
        <v>833333.33333333337</v>
      </c>
      <c r="C65" s="79">
        <v>833333.33333333337</v>
      </c>
      <c r="D65" s="79">
        <v>833333.33333333337</v>
      </c>
      <c r="E65" s="79">
        <v>833333.33333333337</v>
      </c>
      <c r="F65" s="79">
        <v>833333.33333333337</v>
      </c>
      <c r="G65" s="79">
        <v>833333.33333333337</v>
      </c>
      <c r="H65" s="79">
        <v>833333.33333333337</v>
      </c>
      <c r="I65" s="79">
        <v>833333.33333333337</v>
      </c>
      <c r="J65" s="79">
        <v>833333.33333333337</v>
      </c>
      <c r="K65" s="79">
        <v>833333.33333333337</v>
      </c>
      <c r="L65" s="79">
        <v>833333.33333333337</v>
      </c>
      <c r="M65" s="79">
        <v>833333.33333333337</v>
      </c>
      <c r="N65" s="180">
        <v>10000000</v>
      </c>
    </row>
    <row r="66" spans="1:14">
      <c r="A66" s="121" t="s">
        <v>113</v>
      </c>
      <c r="B66" s="79">
        <f t="shared" ref="B66:B69" si="16">N66/12</f>
        <v>229814.66666666666</v>
      </c>
      <c r="C66" s="79">
        <v>229814.66666666666</v>
      </c>
      <c r="D66" s="79">
        <v>229814.66666666666</v>
      </c>
      <c r="E66" s="79">
        <v>229814.66666666666</v>
      </c>
      <c r="F66" s="79">
        <v>229814.66666666666</v>
      </c>
      <c r="G66" s="79">
        <v>229814.66666666666</v>
      </c>
      <c r="H66" s="79">
        <v>229814.66666666666</v>
      </c>
      <c r="I66" s="79">
        <v>229814.66666666666</v>
      </c>
      <c r="J66" s="79">
        <v>229814.66666666666</v>
      </c>
      <c r="K66" s="79">
        <v>229814.66666666666</v>
      </c>
      <c r="L66" s="79">
        <v>229814.66666666666</v>
      </c>
      <c r="M66" s="79">
        <v>229814.66666666666</v>
      </c>
      <c r="N66" s="179">
        <v>2757776</v>
      </c>
    </row>
    <row r="67" spans="1:14">
      <c r="A67" s="121" t="s">
        <v>7</v>
      </c>
      <c r="B67" s="79">
        <f t="shared" si="16"/>
        <v>195082.08333333334</v>
      </c>
      <c r="C67" s="79">
        <v>195082.08333333334</v>
      </c>
      <c r="D67" s="79">
        <v>195082.08333333334</v>
      </c>
      <c r="E67" s="79">
        <v>195082.08333333334</v>
      </c>
      <c r="F67" s="79">
        <v>195082.08333333334</v>
      </c>
      <c r="G67" s="79">
        <v>195082.08333333334</v>
      </c>
      <c r="H67" s="79">
        <v>195082.08333333334</v>
      </c>
      <c r="I67" s="79">
        <v>195082.08333333334</v>
      </c>
      <c r="J67" s="79">
        <v>195082.08333333334</v>
      </c>
      <c r="K67" s="79">
        <v>195082.08333333334</v>
      </c>
      <c r="L67" s="79">
        <v>195082.08333333334</v>
      </c>
      <c r="M67" s="79">
        <v>195082.08333333334</v>
      </c>
      <c r="N67" s="179">
        <v>2340985</v>
      </c>
    </row>
    <row r="68" spans="1:14">
      <c r="A68" s="121" t="s">
        <v>166</v>
      </c>
      <c r="B68" s="79">
        <f t="shared" si="16"/>
        <v>333333.33333333331</v>
      </c>
      <c r="C68" s="79">
        <v>333333.33333333331</v>
      </c>
      <c r="D68" s="79">
        <v>333333.33333333331</v>
      </c>
      <c r="E68" s="79">
        <v>333333.33333333331</v>
      </c>
      <c r="F68" s="79">
        <v>333333.33333333331</v>
      </c>
      <c r="G68" s="79">
        <v>333333.33333333331</v>
      </c>
      <c r="H68" s="79">
        <v>333333.33333333331</v>
      </c>
      <c r="I68" s="79">
        <v>333333.33333333331</v>
      </c>
      <c r="J68" s="79">
        <v>333333.33333333331</v>
      </c>
      <c r="K68" s="79">
        <v>333333.33333333331</v>
      </c>
      <c r="L68" s="79">
        <v>333333.33333333331</v>
      </c>
      <c r="M68" s="79">
        <v>333333.33333333331</v>
      </c>
      <c r="N68" s="179">
        <v>4000000</v>
      </c>
    </row>
    <row r="69" spans="1:14">
      <c r="A69" s="124" t="s">
        <v>171</v>
      </c>
      <c r="B69" s="79">
        <f t="shared" si="16"/>
        <v>410922.74999999994</v>
      </c>
      <c r="C69" s="79">
        <v>410922.74999999994</v>
      </c>
      <c r="D69" s="79">
        <v>410922.74999999994</v>
      </c>
      <c r="E69" s="79">
        <v>410922.74999999994</v>
      </c>
      <c r="F69" s="79">
        <v>410922.74999999994</v>
      </c>
      <c r="G69" s="79">
        <v>410922.74999999994</v>
      </c>
      <c r="H69" s="79">
        <v>410922.74999999994</v>
      </c>
      <c r="I69" s="79">
        <v>410922.74999999994</v>
      </c>
      <c r="J69" s="79">
        <v>410922.74999999994</v>
      </c>
      <c r="K69" s="79">
        <v>410922.74999999994</v>
      </c>
      <c r="L69" s="79">
        <v>410922.74999999994</v>
      </c>
      <c r="M69" s="79">
        <v>410922.74999999994</v>
      </c>
      <c r="N69" s="179">
        <v>4931072.9999999991</v>
      </c>
    </row>
    <row r="70" spans="1:14">
      <c r="A70" s="124" t="s">
        <v>114</v>
      </c>
      <c r="B70" s="79">
        <f>N70/12</f>
        <v>486777.08333333326</v>
      </c>
      <c r="C70" s="79">
        <v>486777.08333333326</v>
      </c>
      <c r="D70" s="79">
        <v>486777.08333333326</v>
      </c>
      <c r="E70" s="79">
        <v>486777.08333333326</v>
      </c>
      <c r="F70" s="79">
        <v>486777.08333333326</v>
      </c>
      <c r="G70" s="79">
        <v>486777.08333333326</v>
      </c>
      <c r="H70" s="79">
        <v>486777.08333333326</v>
      </c>
      <c r="I70" s="79">
        <v>486777.08333333326</v>
      </c>
      <c r="J70" s="79">
        <v>486777.08333333326</v>
      </c>
      <c r="K70" s="79">
        <v>486777.08333333326</v>
      </c>
      <c r="L70" s="79">
        <v>486777.08333333326</v>
      </c>
      <c r="M70" s="79">
        <v>486777.08333333326</v>
      </c>
      <c r="N70" s="179">
        <v>5841324.9999999991</v>
      </c>
    </row>
    <row r="71" spans="1:14">
      <c r="A71" s="124" t="s">
        <v>8</v>
      </c>
      <c r="B71" s="79">
        <f>N71/12</f>
        <v>250000</v>
      </c>
      <c r="C71" s="79">
        <v>250000</v>
      </c>
      <c r="D71" s="79">
        <v>250000</v>
      </c>
      <c r="E71" s="79">
        <v>250000</v>
      </c>
      <c r="F71" s="79">
        <v>250000</v>
      </c>
      <c r="G71" s="79">
        <v>250000</v>
      </c>
      <c r="H71" s="79">
        <v>250000</v>
      </c>
      <c r="I71" s="79">
        <v>250000</v>
      </c>
      <c r="J71" s="79">
        <v>250000</v>
      </c>
      <c r="K71" s="79">
        <v>250000</v>
      </c>
      <c r="L71" s="79">
        <v>250000</v>
      </c>
      <c r="M71" s="79">
        <v>250000</v>
      </c>
      <c r="N71" s="179">
        <v>3000000</v>
      </c>
    </row>
    <row r="72" spans="1:14">
      <c r="A72" s="121" t="s">
        <v>167</v>
      </c>
      <c r="B72" s="79">
        <f t="shared" ref="B72:B73" si="17">N72/12</f>
        <v>250000</v>
      </c>
      <c r="C72" s="79">
        <v>250000</v>
      </c>
      <c r="D72" s="79">
        <v>250000</v>
      </c>
      <c r="E72" s="79">
        <v>250000</v>
      </c>
      <c r="F72" s="79">
        <v>250000</v>
      </c>
      <c r="G72" s="79">
        <v>250000</v>
      </c>
      <c r="H72" s="79">
        <v>250000</v>
      </c>
      <c r="I72" s="79">
        <v>250000</v>
      </c>
      <c r="J72" s="79">
        <v>250000</v>
      </c>
      <c r="K72" s="79">
        <v>250000</v>
      </c>
      <c r="L72" s="79">
        <v>250000</v>
      </c>
      <c r="M72" s="79">
        <v>250000</v>
      </c>
      <c r="N72" s="179">
        <v>3000000</v>
      </c>
    </row>
    <row r="73" spans="1:14">
      <c r="A73" s="121" t="s">
        <v>169</v>
      </c>
      <c r="B73" s="79">
        <f t="shared" si="17"/>
        <v>416666.66666666669</v>
      </c>
      <c r="C73" s="79">
        <v>416666.66666666669</v>
      </c>
      <c r="D73" s="79">
        <v>416666.66666666669</v>
      </c>
      <c r="E73" s="79">
        <v>416666.66666666669</v>
      </c>
      <c r="F73" s="79">
        <v>416666.66666666669</v>
      </c>
      <c r="G73" s="79">
        <v>416666.66666666669</v>
      </c>
      <c r="H73" s="79">
        <v>416666.66666666669</v>
      </c>
      <c r="I73" s="79">
        <v>416666.66666666669</v>
      </c>
      <c r="J73" s="79">
        <v>416666.66666666669</v>
      </c>
      <c r="K73" s="79">
        <v>416666.66666666669</v>
      </c>
      <c r="L73" s="79">
        <v>416666.66666666669</v>
      </c>
      <c r="M73" s="79">
        <v>416666.66666666669</v>
      </c>
      <c r="N73" s="179">
        <v>5000000</v>
      </c>
    </row>
    <row r="74" spans="1:14">
      <c r="A74" s="121" t="s">
        <v>115</v>
      </c>
      <c r="B74" s="79">
        <v>400000</v>
      </c>
      <c r="C74" s="79">
        <v>400000</v>
      </c>
      <c r="D74" s="79">
        <v>400000</v>
      </c>
      <c r="E74" s="79">
        <v>400000</v>
      </c>
      <c r="F74" s="79">
        <v>400000</v>
      </c>
      <c r="G74" s="79">
        <v>400000</v>
      </c>
      <c r="H74" s="79">
        <v>400000</v>
      </c>
      <c r="I74" s="79">
        <v>400000</v>
      </c>
      <c r="J74" s="79">
        <v>400000</v>
      </c>
      <c r="K74" s="79">
        <v>400000</v>
      </c>
      <c r="L74" s="79">
        <v>400000</v>
      </c>
      <c r="M74" s="79">
        <v>400000</v>
      </c>
      <c r="N74" s="180">
        <f>SUM(B74:M74)</f>
        <v>4800000</v>
      </c>
    </row>
    <row r="75" spans="1:14">
      <c r="A75" s="124" t="s">
        <v>189</v>
      </c>
      <c r="B75" s="79">
        <v>3024380</v>
      </c>
      <c r="C75" s="79">
        <v>3024380</v>
      </c>
      <c r="D75" s="79">
        <v>3024380</v>
      </c>
      <c r="E75" s="79">
        <v>3024380</v>
      </c>
      <c r="F75" s="79">
        <v>3024380</v>
      </c>
      <c r="G75" s="79">
        <v>3024380</v>
      </c>
      <c r="H75" s="79">
        <v>3024380</v>
      </c>
      <c r="I75" s="79">
        <v>3024380</v>
      </c>
      <c r="J75" s="79">
        <v>3024380</v>
      </c>
      <c r="K75" s="79">
        <v>3024380</v>
      </c>
      <c r="L75" s="79">
        <v>3024380</v>
      </c>
      <c r="M75" s="79">
        <v>3024380</v>
      </c>
      <c r="N75" s="180">
        <f>SUM(B75:M75)</f>
        <v>36292560</v>
      </c>
    </row>
    <row r="76" spans="1:14">
      <c r="A76" s="216" t="s">
        <v>116</v>
      </c>
      <c r="B76" s="217">
        <v>5000000</v>
      </c>
      <c r="C76" s="217">
        <v>5000000</v>
      </c>
      <c r="D76" s="217">
        <v>5000000</v>
      </c>
      <c r="E76" s="217">
        <v>5000000</v>
      </c>
      <c r="F76" s="217">
        <v>5000000</v>
      </c>
      <c r="G76" s="217">
        <v>5000000</v>
      </c>
      <c r="H76" s="217">
        <v>5000000</v>
      </c>
      <c r="I76" s="217">
        <v>5000000</v>
      </c>
      <c r="J76" s="217">
        <v>5000000</v>
      </c>
      <c r="K76" s="217">
        <v>5000000</v>
      </c>
      <c r="L76" s="217">
        <v>5000000</v>
      </c>
      <c r="M76" s="217">
        <v>5000000</v>
      </c>
      <c r="N76" s="218">
        <v>200000000</v>
      </c>
    </row>
    <row r="77" spans="1:14">
      <c r="A77" s="238" t="s">
        <v>314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186">
        <v>117975301</v>
      </c>
    </row>
    <row r="78" spans="1:14" s="1" customFormat="1">
      <c r="A78" s="125" t="s">
        <v>292</v>
      </c>
      <c r="B78" s="87">
        <f t="shared" ref="B78:N78" si="18">SUM(B51:B76)</f>
        <v>30406208.34333333</v>
      </c>
      <c r="C78" s="87">
        <f t="shared" si="18"/>
        <v>30406208.34333333</v>
      </c>
      <c r="D78" s="87">
        <f t="shared" si="18"/>
        <v>30406208.34333333</v>
      </c>
      <c r="E78" s="87">
        <f t="shared" si="18"/>
        <v>30406208.34333333</v>
      </c>
      <c r="F78" s="87">
        <f t="shared" si="18"/>
        <v>30406208.34333333</v>
      </c>
      <c r="G78" s="87">
        <f t="shared" si="18"/>
        <v>30406208.34333333</v>
      </c>
      <c r="H78" s="87">
        <f t="shared" si="18"/>
        <v>30406208.34333333</v>
      </c>
      <c r="I78" s="87">
        <f t="shared" si="18"/>
        <v>30406208.34333333</v>
      </c>
      <c r="J78" s="87">
        <f t="shared" si="18"/>
        <v>30406208.34333333</v>
      </c>
      <c r="K78" s="87">
        <f t="shared" si="18"/>
        <v>30406208.34333333</v>
      </c>
      <c r="L78" s="87">
        <f t="shared" si="18"/>
        <v>30406208.34333333</v>
      </c>
      <c r="M78" s="87">
        <f t="shared" si="18"/>
        <v>30406208.34333333</v>
      </c>
      <c r="N78" s="186">
        <f>SUM(N51:N77)</f>
        <v>627599801.12</v>
      </c>
    </row>
    <row r="79" spans="1:14">
      <c r="A79" s="119" t="s">
        <v>117</v>
      </c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180"/>
    </row>
    <row r="80" spans="1:14">
      <c r="A80" s="121" t="s">
        <v>118</v>
      </c>
      <c r="B80" s="79">
        <v>1250000</v>
      </c>
      <c r="C80" s="79">
        <v>1250000</v>
      </c>
      <c r="D80" s="79">
        <v>1250000</v>
      </c>
      <c r="E80" s="79">
        <v>1250000</v>
      </c>
      <c r="F80" s="79">
        <v>1250000</v>
      </c>
      <c r="G80" s="79">
        <v>1250000</v>
      </c>
      <c r="H80" s="79">
        <v>1250000</v>
      </c>
      <c r="I80" s="79">
        <v>1250000</v>
      </c>
      <c r="J80" s="79">
        <v>1250000</v>
      </c>
      <c r="K80" s="79">
        <v>1250000</v>
      </c>
      <c r="L80" s="79">
        <v>1250000</v>
      </c>
      <c r="M80" s="79">
        <v>1250000</v>
      </c>
      <c r="N80" s="179">
        <v>15000000</v>
      </c>
    </row>
    <row r="81" spans="1:14">
      <c r="A81" s="121" t="s">
        <v>119</v>
      </c>
      <c r="B81" s="79">
        <v>170000</v>
      </c>
      <c r="C81" s="79">
        <v>170000</v>
      </c>
      <c r="D81" s="79">
        <v>170000</v>
      </c>
      <c r="E81" s="79">
        <v>170000</v>
      </c>
      <c r="F81" s="79">
        <v>170000</v>
      </c>
      <c r="G81" s="79">
        <v>170000</v>
      </c>
      <c r="H81" s="79">
        <v>170000</v>
      </c>
      <c r="I81" s="79">
        <v>170000</v>
      </c>
      <c r="J81" s="79">
        <v>170000</v>
      </c>
      <c r="K81" s="79">
        <v>170000</v>
      </c>
      <c r="L81" s="79">
        <v>170000</v>
      </c>
      <c r="M81" s="79">
        <v>170000</v>
      </c>
      <c r="N81" s="179">
        <f>SUM(B81:M81)</f>
        <v>2040000</v>
      </c>
    </row>
    <row r="82" spans="1:14">
      <c r="A82" s="124" t="s">
        <v>168</v>
      </c>
      <c r="B82" s="79">
        <v>1080208.3366666667</v>
      </c>
      <c r="C82" s="79">
        <v>1080208.3366666667</v>
      </c>
      <c r="D82" s="79">
        <v>1080208.3366666699</v>
      </c>
      <c r="E82" s="79">
        <v>1080208.3366666667</v>
      </c>
      <c r="F82" s="79">
        <v>1080208.3366666667</v>
      </c>
      <c r="G82" s="79">
        <v>1080208.3366666667</v>
      </c>
      <c r="H82" s="79">
        <v>1080208.3366666667</v>
      </c>
      <c r="I82" s="79">
        <v>1080208.3366666667</v>
      </c>
      <c r="J82" s="79">
        <v>1080208.3366666667</v>
      </c>
      <c r="K82" s="79">
        <v>1080208.3366666667</v>
      </c>
      <c r="L82" s="79">
        <v>1080208.3366666667</v>
      </c>
      <c r="M82" s="79">
        <v>1080208.3366666667</v>
      </c>
      <c r="N82" s="179">
        <v>12962500.039999999</v>
      </c>
    </row>
    <row r="83" spans="1:14">
      <c r="A83" s="121" t="s">
        <v>120</v>
      </c>
      <c r="B83" s="79">
        <v>1084000</v>
      </c>
      <c r="C83" s="79">
        <v>1084000</v>
      </c>
      <c r="D83" s="79">
        <v>1084000</v>
      </c>
      <c r="E83" s="79">
        <v>1084000</v>
      </c>
      <c r="F83" s="79">
        <v>1084000</v>
      </c>
      <c r="G83" s="79">
        <v>1084000</v>
      </c>
      <c r="H83" s="79">
        <v>1084000</v>
      </c>
      <c r="I83" s="79">
        <v>1084000</v>
      </c>
      <c r="J83" s="79">
        <v>1084000</v>
      </c>
      <c r="K83" s="79">
        <v>1084000</v>
      </c>
      <c r="L83" s="79">
        <v>1084000</v>
      </c>
      <c r="M83" s="79">
        <v>1084000</v>
      </c>
      <c r="N83" s="179">
        <f>SUM(B83:M83)</f>
        <v>13008000</v>
      </c>
    </row>
    <row r="84" spans="1:14">
      <c r="A84" s="121" t="s">
        <v>121</v>
      </c>
      <c r="B84" s="79">
        <v>300000</v>
      </c>
      <c r="C84" s="79">
        <v>300000</v>
      </c>
      <c r="D84" s="79">
        <v>300000</v>
      </c>
      <c r="E84" s="79">
        <v>300000</v>
      </c>
      <c r="F84" s="79">
        <v>300000</v>
      </c>
      <c r="G84" s="79">
        <v>300000</v>
      </c>
      <c r="H84" s="79">
        <v>300000</v>
      </c>
      <c r="I84" s="79">
        <v>300000</v>
      </c>
      <c r="J84" s="79">
        <v>300000</v>
      </c>
      <c r="K84" s="79">
        <v>300000</v>
      </c>
      <c r="L84" s="79">
        <v>300000</v>
      </c>
      <c r="M84" s="79">
        <v>300000</v>
      </c>
      <c r="N84" s="179">
        <f>SUM(B84:M84)</f>
        <v>3600000</v>
      </c>
    </row>
    <row r="85" spans="1:14">
      <c r="A85" s="121" t="s">
        <v>242</v>
      </c>
      <c r="B85" s="79">
        <v>3600000</v>
      </c>
      <c r="C85" s="79">
        <v>3600000</v>
      </c>
      <c r="D85" s="79">
        <v>3600000</v>
      </c>
      <c r="E85" s="79">
        <v>3600000</v>
      </c>
      <c r="F85" s="79">
        <v>3600000</v>
      </c>
      <c r="G85" s="79">
        <v>3600000</v>
      </c>
      <c r="H85" s="79">
        <v>3600000</v>
      </c>
      <c r="I85" s="79">
        <v>3600000</v>
      </c>
      <c r="J85" s="79">
        <v>3600000</v>
      </c>
      <c r="K85" s="79">
        <v>3600000</v>
      </c>
      <c r="L85" s="79">
        <v>3600000</v>
      </c>
      <c r="M85" s="79">
        <v>3600000</v>
      </c>
      <c r="N85" s="179">
        <f>SUM(B85:M85)</f>
        <v>43200000</v>
      </c>
    </row>
    <row r="86" spans="1:14">
      <c r="A86" s="121" t="s">
        <v>170</v>
      </c>
      <c r="B86" s="79">
        <f>N86/12</f>
        <v>758333.33333333337</v>
      </c>
      <c r="C86" s="79">
        <v>758333.33333333337</v>
      </c>
      <c r="D86" s="79">
        <v>758333.33333333337</v>
      </c>
      <c r="E86" s="79">
        <v>758333.33333333337</v>
      </c>
      <c r="F86" s="79">
        <v>758333.33333333337</v>
      </c>
      <c r="G86" s="79">
        <v>758333.33333333337</v>
      </c>
      <c r="H86" s="79">
        <v>758333.33333333337</v>
      </c>
      <c r="I86" s="79">
        <v>758333.33333333337</v>
      </c>
      <c r="J86" s="79">
        <v>758333.33333333337</v>
      </c>
      <c r="K86" s="79">
        <v>758333.33333333337</v>
      </c>
      <c r="L86" s="79">
        <v>758333.33333333337</v>
      </c>
      <c r="M86" s="79">
        <v>758333.33333333337</v>
      </c>
      <c r="N86" s="179">
        <v>9100000</v>
      </c>
    </row>
    <row r="87" spans="1:14" s="1" customFormat="1">
      <c r="A87" s="126" t="s">
        <v>122</v>
      </c>
      <c r="B87" s="87">
        <f>SUM(B80:B86)</f>
        <v>8242541.6699999999</v>
      </c>
      <c r="C87" s="87">
        <f t="shared" ref="C87:N87" si="19">SUM(C80:C86)</f>
        <v>8242541.6699999999</v>
      </c>
      <c r="D87" s="87">
        <f t="shared" si="19"/>
        <v>8242541.6700000027</v>
      </c>
      <c r="E87" s="87">
        <f t="shared" si="19"/>
        <v>8242541.6699999999</v>
      </c>
      <c r="F87" s="87">
        <f t="shared" si="19"/>
        <v>8242541.6699999999</v>
      </c>
      <c r="G87" s="87">
        <f t="shared" si="19"/>
        <v>8242541.6699999999</v>
      </c>
      <c r="H87" s="87">
        <f t="shared" si="19"/>
        <v>8242541.6699999999</v>
      </c>
      <c r="I87" s="87">
        <f t="shared" si="19"/>
        <v>8242541.6699999999</v>
      </c>
      <c r="J87" s="87">
        <f t="shared" si="19"/>
        <v>8242541.6699999999</v>
      </c>
      <c r="K87" s="87">
        <f t="shared" si="19"/>
        <v>8242541.6699999999</v>
      </c>
      <c r="L87" s="87">
        <f t="shared" si="19"/>
        <v>8242541.6699999999</v>
      </c>
      <c r="M87" s="87">
        <f t="shared" si="19"/>
        <v>8242541.6699999999</v>
      </c>
      <c r="N87" s="186">
        <f t="shared" si="19"/>
        <v>98910500.039999992</v>
      </c>
    </row>
    <row r="88" spans="1:14">
      <c r="A88" s="123" t="s">
        <v>123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180"/>
    </row>
    <row r="89" spans="1:14">
      <c r="A89" s="121" t="s">
        <v>124</v>
      </c>
      <c r="B89" s="79">
        <f>N89/12</f>
        <v>73333.333333333343</v>
      </c>
      <c r="C89" s="79">
        <v>73333.333333333343</v>
      </c>
      <c r="D89" s="79">
        <v>73333.333333333343</v>
      </c>
      <c r="E89" s="79">
        <v>73333.333333333343</v>
      </c>
      <c r="F89" s="79">
        <v>73333.333333333343</v>
      </c>
      <c r="G89" s="79">
        <v>73333.333333333343</v>
      </c>
      <c r="H89" s="79">
        <v>73333.333333333343</v>
      </c>
      <c r="I89" s="79">
        <v>73333.333333333343</v>
      </c>
      <c r="J89" s="79">
        <v>73333.333333333343</v>
      </c>
      <c r="K89" s="79">
        <v>73333.333333333343</v>
      </c>
      <c r="L89" s="79">
        <v>73333.333333333343</v>
      </c>
      <c r="M89" s="79">
        <v>73333.333333333343</v>
      </c>
      <c r="N89" s="179">
        <v>880000.00000000012</v>
      </c>
    </row>
    <row r="90" spans="1:14">
      <c r="A90" s="121" t="s">
        <v>172</v>
      </c>
      <c r="B90" s="79">
        <f>N90/12</f>
        <v>125000</v>
      </c>
      <c r="C90" s="79">
        <v>125000</v>
      </c>
      <c r="D90" s="79">
        <v>125000</v>
      </c>
      <c r="E90" s="79">
        <v>125000</v>
      </c>
      <c r="F90" s="79">
        <v>125000</v>
      </c>
      <c r="G90" s="79">
        <v>125000</v>
      </c>
      <c r="H90" s="79">
        <v>125000</v>
      </c>
      <c r="I90" s="79">
        <v>125000</v>
      </c>
      <c r="J90" s="79">
        <v>125000</v>
      </c>
      <c r="K90" s="79">
        <v>125000</v>
      </c>
      <c r="L90" s="79">
        <v>125000</v>
      </c>
      <c r="M90" s="79">
        <v>125000</v>
      </c>
      <c r="N90" s="179">
        <v>1500000</v>
      </c>
    </row>
    <row r="91" spans="1:14">
      <c r="A91" s="121" t="s">
        <v>125</v>
      </c>
      <c r="B91" s="79">
        <v>431112.5</v>
      </c>
      <c r="C91" s="79">
        <v>431112.5</v>
      </c>
      <c r="D91" s="79">
        <v>431112.5</v>
      </c>
      <c r="E91" s="79">
        <v>431112.5</v>
      </c>
      <c r="F91" s="79">
        <v>431112.5</v>
      </c>
      <c r="G91" s="79">
        <v>431112.5</v>
      </c>
      <c r="H91" s="79">
        <v>431112.5</v>
      </c>
      <c r="I91" s="79">
        <v>431112.5</v>
      </c>
      <c r="J91" s="79">
        <v>431112.5</v>
      </c>
      <c r="K91" s="79">
        <v>431112.5</v>
      </c>
      <c r="L91" s="79">
        <v>431112.5</v>
      </c>
      <c r="M91" s="79">
        <v>431112.5</v>
      </c>
      <c r="N91" s="179">
        <v>5173350</v>
      </c>
    </row>
    <row r="92" spans="1:14">
      <c r="A92" s="121" t="s">
        <v>126</v>
      </c>
      <c r="B92" s="79">
        <v>250000</v>
      </c>
      <c r="C92" s="79">
        <v>250000</v>
      </c>
      <c r="D92" s="79">
        <v>250000</v>
      </c>
      <c r="E92" s="79">
        <v>250000</v>
      </c>
      <c r="F92" s="79">
        <v>250000</v>
      </c>
      <c r="G92" s="79">
        <v>250000</v>
      </c>
      <c r="H92" s="79">
        <v>250000</v>
      </c>
      <c r="I92" s="79">
        <v>250000</v>
      </c>
      <c r="J92" s="79">
        <v>250000</v>
      </c>
      <c r="K92" s="79">
        <v>250000</v>
      </c>
      <c r="L92" s="79">
        <v>250000</v>
      </c>
      <c r="M92" s="79">
        <v>250000</v>
      </c>
      <c r="N92" s="179">
        <v>5173350</v>
      </c>
    </row>
    <row r="93" spans="1:14">
      <c r="A93" s="121" t="s">
        <v>173</v>
      </c>
      <c r="B93" s="79">
        <v>666166.66666666663</v>
      </c>
      <c r="C93" s="79">
        <v>666166.66666666663</v>
      </c>
      <c r="D93" s="79">
        <v>666166.66666666663</v>
      </c>
      <c r="E93" s="79">
        <v>666166.66666666663</v>
      </c>
      <c r="F93" s="79">
        <v>666166.66666666663</v>
      </c>
      <c r="G93" s="79">
        <v>666166.66666666663</v>
      </c>
      <c r="H93" s="79">
        <v>666166.66666666663</v>
      </c>
      <c r="I93" s="79">
        <v>666166.66666666663</v>
      </c>
      <c r="J93" s="79">
        <v>666166.66666666663</v>
      </c>
      <c r="K93" s="79">
        <v>666166.66666666663</v>
      </c>
      <c r="L93" s="79">
        <v>666166.66666666663</v>
      </c>
      <c r="M93" s="79">
        <v>666166.66666666663</v>
      </c>
      <c r="N93" s="179">
        <f>N11*2000</f>
        <v>9600000</v>
      </c>
    </row>
    <row r="94" spans="1:14">
      <c r="A94" s="121" t="s">
        <v>127</v>
      </c>
      <c r="B94" s="79">
        <f>N94/12</f>
        <v>166666.66666666666</v>
      </c>
      <c r="C94" s="79">
        <v>166666.66666666666</v>
      </c>
      <c r="D94" s="79">
        <v>166666.66666666666</v>
      </c>
      <c r="E94" s="79">
        <v>166666.66666666666</v>
      </c>
      <c r="F94" s="79">
        <v>166666.66666666666</v>
      </c>
      <c r="G94" s="79">
        <v>166666.66666666666</v>
      </c>
      <c r="H94" s="79">
        <v>166666.66666666666</v>
      </c>
      <c r="I94" s="79">
        <v>166666.66666666666</v>
      </c>
      <c r="J94" s="79">
        <v>166666.66666666666</v>
      </c>
      <c r="K94" s="79">
        <v>166666.66666666666</v>
      </c>
      <c r="L94" s="79">
        <v>166666.66666666666</v>
      </c>
      <c r="M94" s="79">
        <v>166666.66666666666</v>
      </c>
      <c r="N94" s="179">
        <v>2000000</v>
      </c>
    </row>
    <row r="95" spans="1:14" ht="28">
      <c r="A95" s="121" t="s">
        <v>128</v>
      </c>
      <c r="B95" s="79">
        <f t="shared" ref="B95:B96" si="20">N95/12</f>
        <v>166666.66666666666</v>
      </c>
      <c r="C95" s="79">
        <v>83333.333333333328</v>
      </c>
      <c r="D95" s="79">
        <v>83333.333333333328</v>
      </c>
      <c r="E95" s="79">
        <v>83333.333333333328</v>
      </c>
      <c r="F95" s="79">
        <v>83333.333333333328</v>
      </c>
      <c r="G95" s="79">
        <v>83333.333333333328</v>
      </c>
      <c r="H95" s="79">
        <v>83333.333333333328</v>
      </c>
      <c r="I95" s="79">
        <v>83333.333333333328</v>
      </c>
      <c r="J95" s="79">
        <v>83333.333333333328</v>
      </c>
      <c r="K95" s="79">
        <v>83333.333333333328</v>
      </c>
      <c r="L95" s="79">
        <v>83333.333333333328</v>
      </c>
      <c r="M95" s="79">
        <v>83333.333333333328</v>
      </c>
      <c r="N95" s="179">
        <v>2000000</v>
      </c>
    </row>
    <row r="96" spans="1:14">
      <c r="A96" s="121" t="s">
        <v>129</v>
      </c>
      <c r="B96" s="79">
        <f t="shared" si="20"/>
        <v>250000</v>
      </c>
      <c r="C96" s="79">
        <v>250000</v>
      </c>
      <c r="D96" s="79">
        <v>250000</v>
      </c>
      <c r="E96" s="79">
        <v>250000</v>
      </c>
      <c r="F96" s="79">
        <v>250000</v>
      </c>
      <c r="G96" s="79">
        <v>250000</v>
      </c>
      <c r="H96" s="79">
        <v>250000</v>
      </c>
      <c r="I96" s="79">
        <v>250000</v>
      </c>
      <c r="J96" s="79">
        <v>250000</v>
      </c>
      <c r="K96" s="79">
        <v>250000</v>
      </c>
      <c r="L96" s="79">
        <v>250000</v>
      </c>
      <c r="M96" s="79">
        <v>250000</v>
      </c>
      <c r="N96" s="179">
        <v>3000000</v>
      </c>
    </row>
    <row r="97" spans="1:14">
      <c r="A97" s="127" t="s">
        <v>130</v>
      </c>
      <c r="B97" s="79">
        <v>1274400</v>
      </c>
      <c r="C97" s="79">
        <v>1274400</v>
      </c>
      <c r="D97" s="79">
        <v>1890528</v>
      </c>
      <c r="E97" s="79">
        <v>1890528</v>
      </c>
      <c r="F97" s="79">
        <v>1890528</v>
      </c>
      <c r="G97" s="79">
        <v>1890528</v>
      </c>
      <c r="H97" s="79">
        <v>1890528</v>
      </c>
      <c r="I97" s="79">
        <v>1890528</v>
      </c>
      <c r="J97" s="79">
        <v>1890528</v>
      </c>
      <c r="K97" s="79">
        <v>1890528</v>
      </c>
      <c r="L97" s="79">
        <v>1890528</v>
      </c>
      <c r="M97" s="79">
        <v>1890528</v>
      </c>
      <c r="N97" s="180">
        <f>SUM(B97:M97)</f>
        <v>21454080</v>
      </c>
    </row>
    <row r="98" spans="1:14">
      <c r="A98" s="128" t="s">
        <v>131</v>
      </c>
      <c r="B98" s="86">
        <f>SUM(B89:B97)</f>
        <v>3403345.8333333335</v>
      </c>
      <c r="C98" s="86">
        <f t="shared" ref="C98:N98" si="21">SUM(C89:C97)</f>
        <v>3320012.5</v>
      </c>
      <c r="D98" s="86">
        <f t="shared" si="21"/>
        <v>3936140.5</v>
      </c>
      <c r="E98" s="86">
        <f t="shared" si="21"/>
        <v>3936140.5</v>
      </c>
      <c r="F98" s="86">
        <f t="shared" si="21"/>
        <v>3936140.5</v>
      </c>
      <c r="G98" s="86">
        <f t="shared" si="21"/>
        <v>3936140.5</v>
      </c>
      <c r="H98" s="86">
        <f t="shared" si="21"/>
        <v>3936140.5</v>
      </c>
      <c r="I98" s="86">
        <f t="shared" si="21"/>
        <v>3936140.5</v>
      </c>
      <c r="J98" s="86">
        <f t="shared" si="21"/>
        <v>3936140.5</v>
      </c>
      <c r="K98" s="86">
        <f t="shared" si="21"/>
        <v>3936140.5</v>
      </c>
      <c r="L98" s="86">
        <f t="shared" si="21"/>
        <v>3936140.5</v>
      </c>
      <c r="M98" s="86">
        <f t="shared" si="21"/>
        <v>3936140.5</v>
      </c>
      <c r="N98" s="188">
        <f t="shared" si="21"/>
        <v>50780780</v>
      </c>
    </row>
    <row r="99" spans="1:14">
      <c r="A99" s="210" t="s">
        <v>132</v>
      </c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2"/>
    </row>
    <row r="100" spans="1:14">
      <c r="A100" s="124" t="s">
        <v>133</v>
      </c>
      <c r="B100" s="79">
        <f>N100/12</f>
        <v>6131602.833333333</v>
      </c>
      <c r="C100" s="79">
        <v>6131602.833333333</v>
      </c>
      <c r="D100" s="79">
        <v>6131602.833333333</v>
      </c>
      <c r="E100" s="79">
        <v>6131602.833333333</v>
      </c>
      <c r="F100" s="79">
        <v>6131602.833333333</v>
      </c>
      <c r="G100" s="79">
        <v>6131602.833333333</v>
      </c>
      <c r="H100" s="79">
        <v>6131602.833333333</v>
      </c>
      <c r="I100" s="79">
        <v>6131602.833333333</v>
      </c>
      <c r="J100" s="79">
        <v>6131602.833333333</v>
      </c>
      <c r="K100" s="79">
        <v>6131602.833333333</v>
      </c>
      <c r="L100" s="79">
        <v>6131602.833333333</v>
      </c>
      <c r="M100" s="79">
        <v>6131602.833333333</v>
      </c>
      <c r="N100" s="179">
        <v>73579234</v>
      </c>
    </row>
    <row r="101" spans="1:14">
      <c r="A101" s="124" t="s">
        <v>174</v>
      </c>
      <c r="B101" s="79">
        <f>N101/12</f>
        <v>6663195</v>
      </c>
      <c r="C101" s="79">
        <v>6663195</v>
      </c>
      <c r="D101" s="79">
        <v>6663195</v>
      </c>
      <c r="E101" s="79">
        <v>6663195</v>
      </c>
      <c r="F101" s="79">
        <v>6663195</v>
      </c>
      <c r="G101" s="79">
        <v>6663195</v>
      </c>
      <c r="H101" s="79">
        <v>6663195</v>
      </c>
      <c r="I101" s="79">
        <v>6663195</v>
      </c>
      <c r="J101" s="79">
        <v>6663195</v>
      </c>
      <c r="K101" s="79">
        <v>6663195</v>
      </c>
      <c r="L101" s="79">
        <v>6663195</v>
      </c>
      <c r="M101" s="79">
        <v>6663195</v>
      </c>
      <c r="N101" s="179">
        <v>79958340</v>
      </c>
    </row>
    <row r="102" spans="1:14">
      <c r="A102" s="130" t="s">
        <v>134</v>
      </c>
      <c r="B102" s="86">
        <f>B100+B101</f>
        <v>12794797.833333332</v>
      </c>
      <c r="C102" s="86">
        <f t="shared" ref="C102:N102" si="22">C100+C101</f>
        <v>12794797.833333332</v>
      </c>
      <c r="D102" s="86">
        <f t="shared" si="22"/>
        <v>12794797.833333332</v>
      </c>
      <c r="E102" s="86">
        <f t="shared" si="22"/>
        <v>12794797.833333332</v>
      </c>
      <c r="F102" s="86">
        <f t="shared" si="22"/>
        <v>12794797.833333332</v>
      </c>
      <c r="G102" s="86">
        <f t="shared" si="22"/>
        <v>12794797.833333332</v>
      </c>
      <c r="H102" s="86">
        <f t="shared" si="22"/>
        <v>12794797.833333332</v>
      </c>
      <c r="I102" s="86">
        <f t="shared" si="22"/>
        <v>12794797.833333332</v>
      </c>
      <c r="J102" s="86">
        <f t="shared" si="22"/>
        <v>12794797.833333332</v>
      </c>
      <c r="K102" s="86">
        <f t="shared" si="22"/>
        <v>12794797.833333332</v>
      </c>
      <c r="L102" s="86">
        <f t="shared" si="22"/>
        <v>12794797.833333332</v>
      </c>
      <c r="M102" s="86">
        <f t="shared" si="22"/>
        <v>12794797.833333332</v>
      </c>
      <c r="N102" s="188">
        <f t="shared" si="22"/>
        <v>153537574</v>
      </c>
    </row>
    <row r="103" spans="1:14">
      <c r="A103" s="131" t="s">
        <v>135</v>
      </c>
      <c r="B103" s="89">
        <f t="shared" ref="B103:N103" si="23">B102+B98+B87+B78+B49</f>
        <v>122999780.67999999</v>
      </c>
      <c r="C103" s="89">
        <f t="shared" si="23"/>
        <v>122916447.34666666</v>
      </c>
      <c r="D103" s="89">
        <f t="shared" si="23"/>
        <v>123532575.34666666</v>
      </c>
      <c r="E103" s="89">
        <f t="shared" si="23"/>
        <v>123532575.34666666</v>
      </c>
      <c r="F103" s="89">
        <f t="shared" si="23"/>
        <v>129728292.34666666</v>
      </c>
      <c r="G103" s="89">
        <f t="shared" si="23"/>
        <v>129728292.34666666</v>
      </c>
      <c r="H103" s="89">
        <f t="shared" si="23"/>
        <v>129728292.34666666</v>
      </c>
      <c r="I103" s="89">
        <f t="shared" si="23"/>
        <v>129728292.34666666</v>
      </c>
      <c r="J103" s="89">
        <f t="shared" si="23"/>
        <v>129728292.34666666</v>
      </c>
      <c r="K103" s="89">
        <f t="shared" si="23"/>
        <v>148315443.34666663</v>
      </c>
      <c r="L103" s="89">
        <f t="shared" si="23"/>
        <v>148315443.34666663</v>
      </c>
      <c r="M103" s="89">
        <f t="shared" si="23"/>
        <v>148315443.34666663</v>
      </c>
      <c r="N103" s="189">
        <f t="shared" si="23"/>
        <v>1853990488.1599998</v>
      </c>
    </row>
    <row r="104" spans="1:14">
      <c r="A104" s="132" t="s">
        <v>136</v>
      </c>
      <c r="B104" s="97">
        <f t="shared" ref="B104:N104" si="24">B41-B103</f>
        <v>24848450.431111112</v>
      </c>
      <c r="C104" s="97">
        <f t="shared" si="24"/>
        <v>39594117.097777784</v>
      </c>
      <c r="D104" s="97">
        <f t="shared" si="24"/>
        <v>38977989.097777784</v>
      </c>
      <c r="E104" s="97">
        <f t="shared" si="24"/>
        <v>38977989.097777784</v>
      </c>
      <c r="F104" s="97">
        <f t="shared" si="24"/>
        <v>63790234.319999993</v>
      </c>
      <c r="G104" s="97">
        <f t="shared" si="24"/>
        <v>63790234.319999993</v>
      </c>
      <c r="H104" s="97">
        <f t="shared" si="24"/>
        <v>63790234.319999993</v>
      </c>
      <c r="I104" s="97">
        <f t="shared" si="24"/>
        <v>63790234.319999993</v>
      </c>
      <c r="J104" s="97">
        <f t="shared" si="24"/>
        <v>76790234.319999993</v>
      </c>
      <c r="K104" s="97">
        <f t="shared" si="24"/>
        <v>50203083.320000023</v>
      </c>
      <c r="L104" s="97">
        <f t="shared" si="24"/>
        <v>50203083.320000023</v>
      </c>
      <c r="M104" s="97">
        <f t="shared" si="24"/>
        <v>50203083.320000023</v>
      </c>
      <c r="N104" s="190">
        <f t="shared" si="24"/>
        <v>520235245.9533329</v>
      </c>
    </row>
    <row r="105" spans="1:14">
      <c r="A105" s="120" t="s">
        <v>137</v>
      </c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180"/>
    </row>
    <row r="106" spans="1:14">
      <c r="A106" s="120" t="s">
        <v>138</v>
      </c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180"/>
    </row>
    <row r="107" spans="1:14">
      <c r="A107" s="124" t="s">
        <v>139</v>
      </c>
      <c r="B107" s="79">
        <f>N107/12</f>
        <v>833333.33333333337</v>
      </c>
      <c r="C107" s="79">
        <v>833333.33333333337</v>
      </c>
      <c r="D107" s="79">
        <v>833333.33333333337</v>
      </c>
      <c r="E107" s="79">
        <v>833333.33333333337</v>
      </c>
      <c r="F107" s="79">
        <v>833333.33333333337</v>
      </c>
      <c r="G107" s="79">
        <v>833333.33333333337</v>
      </c>
      <c r="H107" s="79">
        <v>833333.33333333337</v>
      </c>
      <c r="I107" s="79">
        <v>833333.33333333337</v>
      </c>
      <c r="J107" s="79">
        <v>833333.33333333337</v>
      </c>
      <c r="K107" s="79">
        <v>833333.33333333337</v>
      </c>
      <c r="L107" s="79">
        <v>833333.33333333337</v>
      </c>
      <c r="M107" s="79">
        <v>833333.33333333337</v>
      </c>
      <c r="N107" s="179">
        <v>10000000</v>
      </c>
    </row>
    <row r="108" spans="1:14" ht="28">
      <c r="A108" s="121" t="s">
        <v>307</v>
      </c>
      <c r="B108" s="79">
        <f t="shared" ref="B108:B110" si="25">N108/12</f>
        <v>1666666.6666666667</v>
      </c>
      <c r="C108" s="79">
        <v>1666666.6666666667</v>
      </c>
      <c r="D108" s="79">
        <v>1666666.6666666667</v>
      </c>
      <c r="E108" s="79">
        <v>1666666.6666666667</v>
      </c>
      <c r="F108" s="79">
        <v>1666666.6666666667</v>
      </c>
      <c r="G108" s="79">
        <v>1666666.6666666667</v>
      </c>
      <c r="H108" s="79">
        <v>1666666.6666666667</v>
      </c>
      <c r="I108" s="79">
        <v>1666666.6666666667</v>
      </c>
      <c r="J108" s="79">
        <v>1666666.6666666667</v>
      </c>
      <c r="K108" s="79">
        <v>1666666.6666666667</v>
      </c>
      <c r="L108" s="79">
        <v>1666666.6666666667</v>
      </c>
      <c r="M108" s="79">
        <v>1666666.6666666667</v>
      </c>
      <c r="N108" s="179">
        <v>20000000</v>
      </c>
    </row>
    <row r="109" spans="1:14">
      <c r="A109" s="121" t="s">
        <v>140</v>
      </c>
      <c r="B109" s="79">
        <f t="shared" si="25"/>
        <v>4166666.6666666665</v>
      </c>
      <c r="C109" s="79">
        <v>4166666.6666666665</v>
      </c>
      <c r="D109" s="79">
        <v>4166666.6666666665</v>
      </c>
      <c r="E109" s="79">
        <v>4166666.6666666665</v>
      </c>
      <c r="F109" s="79">
        <v>4166666.6666666665</v>
      </c>
      <c r="G109" s="79">
        <v>4166666.6666666665</v>
      </c>
      <c r="H109" s="79">
        <v>4166666.6666666665</v>
      </c>
      <c r="I109" s="79">
        <v>4166666.6666666665</v>
      </c>
      <c r="J109" s="79">
        <v>4166666.6666666665</v>
      </c>
      <c r="K109" s="79">
        <v>4166666.6666666665</v>
      </c>
      <c r="L109" s="79">
        <v>4166666.6666666665</v>
      </c>
      <c r="M109" s="79">
        <v>4166666.6666666665</v>
      </c>
      <c r="N109" s="179">
        <v>50000000</v>
      </c>
    </row>
    <row r="110" spans="1:14">
      <c r="A110" s="133" t="s">
        <v>141</v>
      </c>
      <c r="B110" s="79">
        <f t="shared" si="25"/>
        <v>8139216.4722222164</v>
      </c>
      <c r="C110" s="79">
        <v>9805883.1388888881</v>
      </c>
      <c r="D110" s="79">
        <v>9805883.1388888881</v>
      </c>
      <c r="E110" s="79">
        <v>9805883.1388888881</v>
      </c>
      <c r="F110" s="79">
        <v>9805883.1388888881</v>
      </c>
      <c r="G110" s="79">
        <v>9805883.1388888881</v>
      </c>
      <c r="H110" s="79">
        <v>9805883.1388888881</v>
      </c>
      <c r="I110" s="79">
        <v>9805883.1388888881</v>
      </c>
      <c r="J110" s="79">
        <v>9805883.1388888881</v>
      </c>
      <c r="K110" s="79">
        <v>9805883.1388888881</v>
      </c>
      <c r="L110" s="79">
        <v>9805883.1388888881</v>
      </c>
      <c r="M110" s="79">
        <v>9805883.1388888881</v>
      </c>
      <c r="N110" s="180">
        <f>N24*20%+40091131</f>
        <v>97670597.666666597</v>
      </c>
    </row>
    <row r="111" spans="1:14">
      <c r="A111" s="121" t="s">
        <v>308</v>
      </c>
      <c r="B111" s="79"/>
      <c r="C111" s="79"/>
      <c r="D111" s="79"/>
      <c r="E111" s="79">
        <f>8333333.33333333+8333333</f>
        <v>16666666.33333333</v>
      </c>
      <c r="F111" s="79">
        <v>16666666.33333333</v>
      </c>
      <c r="G111" s="79">
        <f>8333333.33333333+8333333+1</f>
        <v>16666667.33333333</v>
      </c>
      <c r="H111" s="79">
        <v>8333333.333333333</v>
      </c>
      <c r="I111" s="79">
        <v>8333333.333333333</v>
      </c>
      <c r="J111" s="79">
        <v>8333333.333333333</v>
      </c>
      <c r="K111" s="79">
        <v>8333333.333333333</v>
      </c>
      <c r="L111" s="79">
        <v>8333333.333333333</v>
      </c>
      <c r="M111" s="79">
        <v>8333333.3333333302</v>
      </c>
      <c r="N111" s="180">
        <v>100000000</v>
      </c>
    </row>
    <row r="112" spans="1:14">
      <c r="A112" s="127" t="s">
        <v>142</v>
      </c>
      <c r="B112" s="79"/>
      <c r="C112" s="79"/>
      <c r="D112" s="79"/>
      <c r="E112" s="79"/>
      <c r="F112" s="79"/>
      <c r="G112" s="79"/>
      <c r="H112" s="79"/>
      <c r="I112" s="79"/>
      <c r="J112" s="79">
        <f>N112</f>
        <v>2600000</v>
      </c>
      <c r="K112" s="79"/>
      <c r="L112" s="79"/>
      <c r="M112" s="79"/>
      <c r="N112" s="179">
        <f>260*10000</f>
        <v>2600000</v>
      </c>
    </row>
    <row r="113" spans="1:14" s="1" customFormat="1">
      <c r="A113" s="134" t="s">
        <v>143</v>
      </c>
      <c r="B113" s="87">
        <f t="shared" ref="B113:N113" si="26">SUM(B107:B112)</f>
        <v>14805883.138888882</v>
      </c>
      <c r="C113" s="87">
        <f t="shared" si="26"/>
        <v>16472549.805555554</v>
      </c>
      <c r="D113" s="87">
        <f t="shared" si="26"/>
        <v>16472549.805555554</v>
      </c>
      <c r="E113" s="87">
        <f t="shared" si="26"/>
        <v>33139216.138888884</v>
      </c>
      <c r="F113" s="87">
        <f t="shared" si="26"/>
        <v>33139216.138888884</v>
      </c>
      <c r="G113" s="87">
        <f t="shared" si="26"/>
        <v>33139217.138888884</v>
      </c>
      <c r="H113" s="87">
        <f t="shared" si="26"/>
        <v>24805883.138888888</v>
      </c>
      <c r="I113" s="87">
        <f t="shared" si="26"/>
        <v>24805883.138888888</v>
      </c>
      <c r="J113" s="87">
        <f t="shared" si="26"/>
        <v>27405883.138888888</v>
      </c>
      <c r="K113" s="87">
        <f t="shared" si="26"/>
        <v>24805883.138888888</v>
      </c>
      <c r="L113" s="87">
        <f t="shared" si="26"/>
        <v>24805883.138888888</v>
      </c>
      <c r="M113" s="87">
        <f t="shared" si="26"/>
        <v>24805883.138888884</v>
      </c>
      <c r="N113" s="186">
        <f t="shared" si="26"/>
        <v>280270597.66666663</v>
      </c>
    </row>
    <row r="114" spans="1:14">
      <c r="A114" s="135" t="s">
        <v>144</v>
      </c>
      <c r="N114" s="180"/>
    </row>
    <row r="115" spans="1:14">
      <c r="A115" s="136" t="s">
        <v>145</v>
      </c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180"/>
    </row>
    <row r="116" spans="1:14">
      <c r="A116" s="136" t="s">
        <v>146</v>
      </c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180"/>
    </row>
    <row r="117" spans="1:14">
      <c r="A117" s="136" t="s">
        <v>147</v>
      </c>
      <c r="B117" s="80">
        <f>N117/12</f>
        <v>4903054.916666667</v>
      </c>
      <c r="C117" s="80">
        <v>4903054.916666667</v>
      </c>
      <c r="D117" s="80">
        <v>4903054.916666667</v>
      </c>
      <c r="E117" s="80">
        <v>4903054.916666667</v>
      </c>
      <c r="F117" s="80">
        <v>4903054.916666667</v>
      </c>
      <c r="G117" s="80">
        <v>4903054.916666667</v>
      </c>
      <c r="H117" s="80">
        <v>4903054.916666667</v>
      </c>
      <c r="I117" s="80">
        <v>4903054.916666667</v>
      </c>
      <c r="J117" s="80">
        <v>4903054.916666667</v>
      </c>
      <c r="K117" s="80">
        <v>4903054.916666667</v>
      </c>
      <c r="L117" s="80">
        <v>4903054.916666667</v>
      </c>
      <c r="M117" s="80">
        <v>4903054.916666667</v>
      </c>
      <c r="N117" s="179">
        <v>58836659</v>
      </c>
    </row>
    <row r="118" spans="1:14">
      <c r="A118" s="136" t="s">
        <v>175</v>
      </c>
      <c r="B118" s="80">
        <f>N118/12</f>
        <v>5565350</v>
      </c>
      <c r="C118" s="80">
        <v>5565350</v>
      </c>
      <c r="D118" s="80">
        <v>5565350</v>
      </c>
      <c r="E118" s="80">
        <v>5565350</v>
      </c>
      <c r="F118" s="80">
        <v>5565350</v>
      </c>
      <c r="G118" s="80">
        <v>5565350</v>
      </c>
      <c r="H118" s="80">
        <v>5565350</v>
      </c>
      <c r="I118" s="80">
        <v>5565350</v>
      </c>
      <c r="J118" s="80">
        <v>5565350</v>
      </c>
      <c r="K118" s="80">
        <v>5565350</v>
      </c>
      <c r="L118" s="80">
        <v>5565350</v>
      </c>
      <c r="M118" s="80">
        <v>5565350</v>
      </c>
      <c r="N118" s="179">
        <v>66784200</v>
      </c>
    </row>
    <row r="119" spans="1:14">
      <c r="A119" s="136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179"/>
    </row>
    <row r="120" spans="1:14">
      <c r="A120" s="137" t="s">
        <v>148</v>
      </c>
      <c r="B120" s="78">
        <f t="shared" ref="B120:N120" si="27">B115+B116+B117+B118+B119</f>
        <v>10468404.916666668</v>
      </c>
      <c r="C120" s="78">
        <f t="shared" si="27"/>
        <v>10468404.916666668</v>
      </c>
      <c r="D120" s="78">
        <f t="shared" si="27"/>
        <v>10468404.916666668</v>
      </c>
      <c r="E120" s="78">
        <f t="shared" si="27"/>
        <v>10468404.916666668</v>
      </c>
      <c r="F120" s="78">
        <f t="shared" si="27"/>
        <v>10468404.916666668</v>
      </c>
      <c r="G120" s="78">
        <f t="shared" si="27"/>
        <v>10468404.916666668</v>
      </c>
      <c r="H120" s="78">
        <f t="shared" si="27"/>
        <v>10468404.916666668</v>
      </c>
      <c r="I120" s="78">
        <f t="shared" si="27"/>
        <v>10468404.916666668</v>
      </c>
      <c r="J120" s="78">
        <f t="shared" si="27"/>
        <v>10468404.916666668</v>
      </c>
      <c r="K120" s="78">
        <f t="shared" si="27"/>
        <v>10468404.916666668</v>
      </c>
      <c r="L120" s="78">
        <f t="shared" si="27"/>
        <v>10468404.916666668</v>
      </c>
      <c r="M120" s="78">
        <f t="shared" si="27"/>
        <v>10468404.916666668</v>
      </c>
      <c r="N120" s="191">
        <f t="shared" si="27"/>
        <v>125620859</v>
      </c>
    </row>
    <row r="121" spans="1:14">
      <c r="A121" s="135" t="s">
        <v>149</v>
      </c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187"/>
    </row>
    <row r="122" spans="1:14">
      <c r="A122" s="136" t="s">
        <v>251</v>
      </c>
      <c r="B122" s="80">
        <v>2659956</v>
      </c>
      <c r="C122" s="80">
        <v>2659956</v>
      </c>
      <c r="D122" s="80">
        <v>2659956</v>
      </c>
      <c r="E122" s="80">
        <v>2659956</v>
      </c>
      <c r="F122" s="80">
        <v>2659956</v>
      </c>
      <c r="G122" s="80">
        <v>2659956</v>
      </c>
      <c r="H122" s="80">
        <v>2659956</v>
      </c>
      <c r="I122" s="80">
        <v>2659956</v>
      </c>
      <c r="J122" s="80">
        <v>2659956</v>
      </c>
      <c r="K122" s="80">
        <v>2659956</v>
      </c>
      <c r="L122" s="80">
        <v>2659956</v>
      </c>
      <c r="M122" s="80">
        <v>2659956</v>
      </c>
      <c r="N122" s="179">
        <f>SUM(B122:M122)</f>
        <v>31919472</v>
      </c>
    </row>
    <row r="123" spans="1:14">
      <c r="A123" s="138" t="s">
        <v>150</v>
      </c>
      <c r="B123" s="184">
        <f t="shared" ref="B123:B126" si="28">N123/12</f>
        <v>803358</v>
      </c>
      <c r="C123" s="184">
        <v>803358</v>
      </c>
      <c r="D123" s="184">
        <v>803358</v>
      </c>
      <c r="E123" s="184">
        <v>803358</v>
      </c>
      <c r="F123" s="184">
        <v>803358</v>
      </c>
      <c r="G123" s="184">
        <v>803358</v>
      </c>
      <c r="H123" s="184">
        <v>803358</v>
      </c>
      <c r="I123" s="184">
        <v>803358</v>
      </c>
      <c r="J123" s="184">
        <v>803358</v>
      </c>
      <c r="K123" s="184">
        <v>803358</v>
      </c>
      <c r="L123" s="184">
        <v>803358</v>
      </c>
      <c r="M123" s="184">
        <v>803358</v>
      </c>
      <c r="N123" s="179">
        <v>9640296</v>
      </c>
    </row>
    <row r="124" spans="1:14">
      <c r="A124" s="138" t="s">
        <v>151</v>
      </c>
      <c r="B124" s="184">
        <f t="shared" si="28"/>
        <v>3333333.3333333335</v>
      </c>
      <c r="C124" s="184">
        <v>4166666.6666666665</v>
      </c>
      <c r="D124" s="184">
        <v>4166666.6666666665</v>
      </c>
      <c r="E124" s="184">
        <v>4166666.6666666665</v>
      </c>
      <c r="F124" s="184">
        <v>4166666.6666666665</v>
      </c>
      <c r="G124" s="184">
        <v>4166666.6666666665</v>
      </c>
      <c r="H124" s="184">
        <v>4166666.6666666665</v>
      </c>
      <c r="I124" s="184">
        <v>4166666.6666666665</v>
      </c>
      <c r="J124" s="184">
        <v>4166666.6666666665</v>
      </c>
      <c r="K124" s="184">
        <v>4166666.6666666665</v>
      </c>
      <c r="L124" s="184">
        <v>4166666.6666666665</v>
      </c>
      <c r="M124" s="184">
        <v>4166666.6666666665</v>
      </c>
      <c r="N124" s="179">
        <v>40000000</v>
      </c>
    </row>
    <row r="125" spans="1:14">
      <c r="A125" s="139" t="s">
        <v>152</v>
      </c>
      <c r="B125" s="184">
        <f t="shared" si="28"/>
        <v>1763603.5770833327</v>
      </c>
      <c r="C125" s="184">
        <v>1763603.5770833327</v>
      </c>
      <c r="D125" s="184">
        <v>1763603.5770833327</v>
      </c>
      <c r="E125" s="184">
        <v>1763603.5770833327</v>
      </c>
      <c r="F125" s="184">
        <v>1763603.5770833327</v>
      </c>
      <c r="G125" s="184">
        <v>1763603.5770833327</v>
      </c>
      <c r="H125" s="184">
        <v>1763603.5770833327</v>
      </c>
      <c r="I125" s="184">
        <v>1763603.5770833327</v>
      </c>
      <c r="J125" s="184">
        <v>1763603.5770833327</v>
      </c>
      <c r="K125" s="184">
        <v>1763603.5770833327</v>
      </c>
      <c r="L125" s="184">
        <v>1763603.5770833327</v>
      </c>
      <c r="M125" s="184">
        <v>1763603.5770833327</v>
      </c>
      <c r="N125" s="179">
        <v>21163242.924999993</v>
      </c>
    </row>
    <row r="126" spans="1:14">
      <c r="A126" s="139" t="s">
        <v>153</v>
      </c>
      <c r="B126" s="184">
        <f t="shared" si="28"/>
        <v>660942.58333333337</v>
      </c>
      <c r="C126" s="184">
        <v>660942.58333333337</v>
      </c>
      <c r="D126" s="184">
        <v>660942.58333333337</v>
      </c>
      <c r="E126" s="184">
        <v>660942.58333333337</v>
      </c>
      <c r="F126" s="184">
        <v>660942.58333333337</v>
      </c>
      <c r="G126" s="184">
        <v>660942.58333333337</v>
      </c>
      <c r="H126" s="184">
        <v>660942.58333333337</v>
      </c>
      <c r="I126" s="184">
        <v>660942.58333333337</v>
      </c>
      <c r="J126" s="184">
        <v>660942.58333333337</v>
      </c>
      <c r="K126" s="184">
        <v>660942.58333333337</v>
      </c>
      <c r="L126" s="184">
        <v>660942.58333333337</v>
      </c>
      <c r="M126" s="184">
        <v>660942.58333333337</v>
      </c>
      <c r="N126" s="179">
        <v>7931311</v>
      </c>
    </row>
    <row r="127" spans="1:14">
      <c r="A127" s="141" t="s">
        <v>154</v>
      </c>
      <c r="B127" s="142">
        <f t="shared" ref="B127:N127" si="29">SUM(B122:B126)</f>
        <v>9221193.4937500004</v>
      </c>
      <c r="C127" s="142">
        <f t="shared" si="29"/>
        <v>10054526.827083332</v>
      </c>
      <c r="D127" s="142">
        <f t="shared" si="29"/>
        <v>10054526.827083332</v>
      </c>
      <c r="E127" s="142">
        <f t="shared" si="29"/>
        <v>10054526.827083332</v>
      </c>
      <c r="F127" s="142">
        <f t="shared" si="29"/>
        <v>10054526.827083332</v>
      </c>
      <c r="G127" s="142">
        <f t="shared" si="29"/>
        <v>10054526.827083332</v>
      </c>
      <c r="H127" s="142">
        <f t="shared" si="29"/>
        <v>10054526.827083332</v>
      </c>
      <c r="I127" s="142">
        <f t="shared" si="29"/>
        <v>10054526.827083332</v>
      </c>
      <c r="J127" s="142">
        <f t="shared" si="29"/>
        <v>10054526.827083332</v>
      </c>
      <c r="K127" s="142">
        <f t="shared" si="29"/>
        <v>10054526.827083332</v>
      </c>
      <c r="L127" s="142">
        <f t="shared" si="29"/>
        <v>10054526.827083332</v>
      </c>
      <c r="M127" s="142">
        <f t="shared" si="29"/>
        <v>10054526.827083332</v>
      </c>
      <c r="N127" s="192">
        <f t="shared" si="29"/>
        <v>110654321.925</v>
      </c>
    </row>
    <row r="128" spans="1:14">
      <c r="A128" s="143" t="s">
        <v>155</v>
      </c>
      <c r="B128" s="193">
        <f t="shared" ref="B128:N128" si="30">B104-B113-B120-B127</f>
        <v>-9647031.1181944385</v>
      </c>
      <c r="C128" s="193">
        <f t="shared" si="30"/>
        <v>2598635.5484722313</v>
      </c>
      <c r="D128" s="193">
        <f t="shared" si="30"/>
        <v>1982507.5484722313</v>
      </c>
      <c r="E128" s="193">
        <f t="shared" si="30"/>
        <v>-14684158.784861101</v>
      </c>
      <c r="F128" s="193">
        <f t="shared" si="30"/>
        <v>10128086.437361108</v>
      </c>
      <c r="G128" s="193">
        <f t="shared" si="30"/>
        <v>10128085.437361108</v>
      </c>
      <c r="H128" s="193">
        <f t="shared" si="30"/>
        <v>18461419.437361106</v>
      </c>
      <c r="I128" s="193">
        <f t="shared" si="30"/>
        <v>18461419.437361106</v>
      </c>
      <c r="J128" s="193">
        <f t="shared" si="30"/>
        <v>28861419.437361106</v>
      </c>
      <c r="K128" s="193">
        <f t="shared" si="30"/>
        <v>4874268.4373611342</v>
      </c>
      <c r="L128" s="193">
        <f t="shared" si="30"/>
        <v>4874268.4373611342</v>
      </c>
      <c r="M128" s="193">
        <f t="shared" si="30"/>
        <v>4874268.4373611379</v>
      </c>
      <c r="N128" s="194">
        <f t="shared" si="30"/>
        <v>3689467.3616662771</v>
      </c>
    </row>
    <row r="129" spans="1:14">
      <c r="A129" s="139" t="s">
        <v>156</v>
      </c>
      <c r="B129" s="96">
        <v>248150445</v>
      </c>
      <c r="N129" s="195"/>
    </row>
    <row r="130" spans="1:14">
      <c r="A130" s="140" t="s">
        <v>157</v>
      </c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96">
        <f>N128+B129</f>
        <v>251839912.36166626</v>
      </c>
    </row>
  </sheetData>
  <mergeCells count="3">
    <mergeCell ref="B8:M8"/>
    <mergeCell ref="N8:Q8"/>
    <mergeCell ref="A1:O1"/>
  </mergeCells>
  <pageMargins left="0.7" right="0.7" top="0.75" bottom="0.75" header="0.3" footer="0.3"/>
  <pageSetup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4"/>
  <sheetViews>
    <sheetView zoomScale="140" zoomScaleNormal="140" zoomScaleSheetLayoutView="110" workbookViewId="0">
      <pane xSplit="2" ySplit="5" topLeftCell="C77" activePane="bottomRight" state="frozen"/>
      <selection pane="topRight" activeCell="C1" sqref="C1"/>
      <selection pane="bottomLeft" activeCell="A6" sqref="A6"/>
      <selection pane="bottomRight" activeCell="B56" sqref="B56"/>
    </sheetView>
  </sheetViews>
  <sheetFormatPr defaultRowHeight="14.5"/>
  <cols>
    <col min="1" max="1" width="2.26953125" customWidth="1"/>
    <col min="2" max="2" width="56.26953125" bestFit="1" customWidth="1"/>
    <col min="3" max="3" width="14.81640625" bestFit="1" customWidth="1"/>
    <col min="4" max="4" width="14.54296875" customWidth="1"/>
    <col min="5" max="5" width="14.81640625" bestFit="1" customWidth="1"/>
    <col min="6" max="6" width="13.1796875" style="1" bestFit="1" customWidth="1"/>
    <col min="7" max="7" width="15.54296875" customWidth="1"/>
    <col min="8" max="8" width="10.1796875" customWidth="1"/>
    <col min="9" max="10" width="8.54296875" customWidth="1"/>
    <col min="11" max="11" width="10.26953125" customWidth="1"/>
    <col min="12" max="13" width="8.54296875" customWidth="1"/>
    <col min="14" max="14" width="10.453125" customWidth="1"/>
    <col min="15" max="15" width="8.54296875" customWidth="1"/>
    <col min="16" max="16" width="14.7265625" style="1" customWidth="1"/>
    <col min="17" max="17" width="20.453125" customWidth="1"/>
    <col min="18" max="18" width="11.7265625" customWidth="1"/>
    <col min="19" max="19" width="13.1796875" bestFit="1" customWidth="1"/>
    <col min="20" max="21" width="11.7265625" customWidth="1"/>
    <col min="22" max="22" width="12.453125" customWidth="1"/>
    <col min="23" max="24" width="15.7265625" customWidth="1"/>
    <col min="25" max="25" width="9" customWidth="1"/>
    <col min="26" max="26" width="10.54296875" bestFit="1" customWidth="1"/>
    <col min="27" max="27" width="9.54296875" bestFit="1" customWidth="1"/>
    <col min="28" max="28" width="14.81640625" bestFit="1" customWidth="1"/>
    <col min="29" max="29" width="21" customWidth="1"/>
    <col min="30" max="30" width="16.7265625" customWidth="1"/>
    <col min="31" max="31" width="14.26953125" customWidth="1"/>
    <col min="32" max="32" width="15.54296875" bestFit="1" customWidth="1"/>
    <col min="33" max="33" width="15.54296875" customWidth="1"/>
    <col min="34" max="34" width="17" customWidth="1"/>
    <col min="35" max="35" width="15.54296875" customWidth="1"/>
  </cols>
  <sheetData>
    <row r="1" spans="2:33">
      <c r="B1" s="11"/>
      <c r="C1" s="229" t="s">
        <v>66</v>
      </c>
      <c r="D1" s="229"/>
      <c r="E1" s="229"/>
      <c r="F1" s="229"/>
      <c r="G1" s="228" t="s">
        <v>65</v>
      </c>
      <c r="H1" s="228"/>
      <c r="I1" s="228"/>
      <c r="J1" s="228"/>
      <c r="K1" s="228"/>
      <c r="L1" s="228"/>
      <c r="M1" s="228"/>
      <c r="N1" s="228"/>
      <c r="O1" s="228"/>
      <c r="P1" s="228"/>
      <c r="Q1" s="47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2:33">
      <c r="B2" s="11"/>
      <c r="C2" s="36"/>
      <c r="D2" s="36"/>
      <c r="E2" s="36"/>
      <c r="F2" s="36"/>
      <c r="G2" s="230" t="s">
        <v>287</v>
      </c>
      <c r="H2" s="231"/>
      <c r="I2" s="232"/>
      <c r="J2" s="233" t="s">
        <v>288</v>
      </c>
      <c r="K2" s="234"/>
      <c r="L2" s="235"/>
      <c r="M2" s="230" t="s">
        <v>289</v>
      </c>
      <c r="N2" s="231"/>
      <c r="O2" s="232"/>
      <c r="P2" s="44"/>
      <c r="Q2" s="47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2:33" s="1" customFormat="1" ht="29">
      <c r="B3" s="10"/>
      <c r="C3" s="49" t="s">
        <v>27</v>
      </c>
      <c r="D3" s="49" t="s">
        <v>28</v>
      </c>
      <c r="E3" s="49" t="s">
        <v>64</v>
      </c>
      <c r="F3" s="49" t="s">
        <v>262</v>
      </c>
      <c r="G3" s="48" t="s">
        <v>27</v>
      </c>
      <c r="H3" s="48" t="s">
        <v>28</v>
      </c>
      <c r="I3" s="48" t="s">
        <v>64</v>
      </c>
      <c r="J3" s="48" t="s">
        <v>27</v>
      </c>
      <c r="K3" s="48" t="s">
        <v>28</v>
      </c>
      <c r="L3" s="48" t="s">
        <v>64</v>
      </c>
      <c r="M3" s="48" t="s">
        <v>27</v>
      </c>
      <c r="N3" s="48" t="s">
        <v>28</v>
      </c>
      <c r="O3" s="48" t="s">
        <v>64</v>
      </c>
      <c r="P3" s="48" t="s">
        <v>70</v>
      </c>
      <c r="Q3" s="29" t="s">
        <v>67</v>
      </c>
      <c r="R3" s="227" t="s">
        <v>53</v>
      </c>
      <c r="S3" s="227"/>
      <c r="T3" s="227"/>
      <c r="U3" s="227"/>
      <c r="V3" s="227"/>
      <c r="W3" s="16"/>
      <c r="X3" s="16"/>
      <c r="Y3" s="16"/>
      <c r="Z3" s="16"/>
      <c r="AA3" s="16"/>
      <c r="AB3" s="10" t="s">
        <v>52</v>
      </c>
      <c r="AC3" s="29" t="s">
        <v>80</v>
      </c>
      <c r="AD3" s="10" t="s">
        <v>56</v>
      </c>
      <c r="AE3" s="10" t="s">
        <v>59</v>
      </c>
      <c r="AF3" s="10" t="s">
        <v>60</v>
      </c>
      <c r="AG3" s="10" t="s">
        <v>57</v>
      </c>
    </row>
    <row r="4" spans="2:33" s="1" customFormat="1" ht="29">
      <c r="B4" s="13"/>
      <c r="C4" s="37"/>
      <c r="D4" s="37"/>
      <c r="E4" s="37"/>
      <c r="F4" s="37"/>
      <c r="G4" s="45"/>
      <c r="H4" s="45"/>
      <c r="I4" s="45"/>
      <c r="J4" s="45"/>
      <c r="K4" s="45"/>
      <c r="L4" s="45"/>
      <c r="M4" s="45"/>
      <c r="N4" s="45"/>
      <c r="O4" s="45"/>
      <c r="P4" s="45"/>
      <c r="Q4" s="35"/>
      <c r="R4" s="236" t="s">
        <v>54</v>
      </c>
      <c r="S4" s="236"/>
      <c r="T4" s="236" t="s">
        <v>55</v>
      </c>
      <c r="U4" s="236"/>
      <c r="V4" s="1" t="s">
        <v>79</v>
      </c>
      <c r="W4" s="30" t="s">
        <v>58</v>
      </c>
      <c r="X4" s="60" t="s">
        <v>83</v>
      </c>
      <c r="Y4" s="224" t="s">
        <v>84</v>
      </c>
      <c r="Z4" s="225"/>
      <c r="AA4" s="226"/>
      <c r="AB4" s="13"/>
      <c r="AC4" s="13"/>
      <c r="AD4" s="13"/>
      <c r="AE4" s="13"/>
      <c r="AF4" s="13"/>
      <c r="AG4" s="13"/>
    </row>
    <row r="5" spans="2:33" s="1" customFormat="1">
      <c r="B5" s="13"/>
      <c r="C5" s="37"/>
      <c r="D5" s="37"/>
      <c r="E5" s="37"/>
      <c r="F5" s="37"/>
      <c r="G5" s="45"/>
      <c r="H5" s="45"/>
      <c r="I5" s="45"/>
      <c r="J5" s="45"/>
      <c r="L5" s="45"/>
      <c r="M5" s="45"/>
      <c r="N5" s="45"/>
      <c r="O5" s="45"/>
      <c r="P5" s="45"/>
      <c r="Q5" s="35"/>
      <c r="R5" s="30" t="s">
        <v>81</v>
      </c>
      <c r="S5" s="30" t="s">
        <v>82</v>
      </c>
      <c r="T5" s="30" t="s">
        <v>81</v>
      </c>
      <c r="U5" s="30" t="s">
        <v>82</v>
      </c>
      <c r="V5" s="30" t="s">
        <v>82</v>
      </c>
      <c r="W5" s="30"/>
      <c r="X5" s="30"/>
      <c r="Y5" s="30" t="s">
        <v>85</v>
      </c>
      <c r="Z5" s="30" t="s">
        <v>86</v>
      </c>
      <c r="AA5" s="30" t="s">
        <v>87</v>
      </c>
      <c r="AB5" s="13"/>
      <c r="AC5" s="13"/>
      <c r="AD5" s="13"/>
      <c r="AE5" s="13"/>
      <c r="AF5" s="13"/>
      <c r="AG5" s="13"/>
    </row>
    <row r="6" spans="2:33" s="1" customFormat="1">
      <c r="B6" s="13" t="s">
        <v>43</v>
      </c>
      <c r="C6" s="37"/>
      <c r="D6" s="37"/>
      <c r="E6" s="37"/>
      <c r="F6" s="37"/>
      <c r="G6" s="45"/>
      <c r="H6" s="45"/>
      <c r="I6" s="45"/>
      <c r="J6" s="45"/>
      <c r="K6" s="45"/>
      <c r="L6" s="45"/>
      <c r="M6" s="45"/>
      <c r="N6" s="45"/>
      <c r="O6" s="45"/>
      <c r="P6" s="45"/>
      <c r="Q6" s="35"/>
      <c r="R6" s="10"/>
      <c r="S6" s="10"/>
      <c r="T6" s="10"/>
      <c r="U6" s="10"/>
      <c r="V6" s="10"/>
      <c r="W6" s="30"/>
      <c r="X6" s="30"/>
      <c r="Y6" s="30"/>
      <c r="Z6" s="30"/>
      <c r="AA6" s="30"/>
      <c r="AB6" s="13"/>
      <c r="AC6" s="13"/>
      <c r="AD6" s="13"/>
      <c r="AE6" s="13"/>
      <c r="AF6" s="13"/>
      <c r="AG6" s="13"/>
    </row>
    <row r="7" spans="2:33">
      <c r="B7" s="31" t="s">
        <v>285</v>
      </c>
      <c r="C7" s="39"/>
      <c r="D7" s="40"/>
      <c r="E7" s="40"/>
      <c r="F7" s="37"/>
      <c r="G7" s="46"/>
      <c r="H7" s="46"/>
      <c r="I7" s="46"/>
      <c r="J7" s="46"/>
      <c r="K7" s="46"/>
      <c r="L7" s="46"/>
      <c r="M7" s="46"/>
      <c r="N7" s="46"/>
      <c r="O7" s="46"/>
      <c r="P7" s="45"/>
      <c r="Q7" s="35"/>
      <c r="R7" s="12"/>
      <c r="S7" s="12"/>
      <c r="T7" s="12"/>
      <c r="U7" s="12"/>
      <c r="V7" s="3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2:33">
      <c r="B8" s="13" t="s">
        <v>23</v>
      </c>
      <c r="C8" s="38">
        <v>60</v>
      </c>
      <c r="D8" s="37">
        <v>17</v>
      </c>
      <c r="E8" s="37"/>
      <c r="F8" s="37">
        <f>SUM(C8:E8)</f>
        <v>77</v>
      </c>
      <c r="G8" s="46">
        <v>10</v>
      </c>
      <c r="H8" s="46">
        <v>20</v>
      </c>
      <c r="I8" s="46">
        <v>0</v>
      </c>
      <c r="J8" s="46"/>
      <c r="K8" s="46"/>
      <c r="L8" s="46">
        <v>0</v>
      </c>
      <c r="M8" s="46"/>
      <c r="N8" s="46"/>
      <c r="O8" s="46">
        <v>0</v>
      </c>
      <c r="P8" s="45">
        <f>SUM(G8:O8)</f>
        <v>30</v>
      </c>
      <c r="Q8" s="35">
        <f>F8+P8</f>
        <v>107</v>
      </c>
      <c r="R8" s="12"/>
      <c r="S8" s="12"/>
      <c r="T8" s="12">
        <f>21</f>
        <v>21</v>
      </c>
      <c r="U8" s="12">
        <v>50</v>
      </c>
      <c r="V8" s="28">
        <v>40</v>
      </c>
      <c r="W8" s="12">
        <f>Q8-SUM(R8:V8)</f>
        <v>-4</v>
      </c>
      <c r="X8" s="12">
        <f>F8-R8-T8</f>
        <v>56</v>
      </c>
      <c r="Y8" s="12"/>
      <c r="Z8" s="12">
        <v>10</v>
      </c>
      <c r="AA8" s="12"/>
      <c r="AB8" s="12">
        <f>((X8*375000)+(Y8*375000)+(Z8*250000)+(AA8*125000))</f>
        <v>23500000</v>
      </c>
      <c r="AC8" s="12">
        <f>W8*33000</f>
        <v>-132000</v>
      </c>
      <c r="AD8" s="12">
        <f>W8*5000</f>
        <v>-20000</v>
      </c>
      <c r="AE8" s="12"/>
      <c r="AF8" s="12"/>
      <c r="AG8" s="12">
        <f>SUM(AB8:AD8)</f>
        <v>23348000</v>
      </c>
    </row>
    <row r="9" spans="2:33" s="1" customFormat="1">
      <c r="B9" s="13" t="s">
        <v>24</v>
      </c>
      <c r="C9" s="37">
        <v>45</v>
      </c>
      <c r="D9" s="37">
        <v>23</v>
      </c>
      <c r="E9" s="37"/>
      <c r="F9" s="37">
        <f t="shared" ref="F9:F78" si="0">SUM(C9:E9)</f>
        <v>68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f t="shared" ref="P9:P81" si="1">SUM(G9:O9)</f>
        <v>0</v>
      </c>
      <c r="Q9" s="13">
        <f>F9+P9</f>
        <v>68</v>
      </c>
      <c r="R9" s="13"/>
      <c r="S9" s="13"/>
      <c r="T9" s="13">
        <v>66</v>
      </c>
      <c r="U9" s="13"/>
      <c r="V9" s="27"/>
      <c r="W9" s="13">
        <f>Q9-SUM(R9:V9)</f>
        <v>2</v>
      </c>
      <c r="X9" s="13">
        <f>F9-R9-T9</f>
        <v>2</v>
      </c>
      <c r="Y9" s="13"/>
      <c r="Z9" s="13"/>
      <c r="AA9" s="13"/>
      <c r="AB9" s="13"/>
      <c r="AC9" s="13"/>
      <c r="AD9" s="13"/>
      <c r="AE9" s="13"/>
      <c r="AF9" s="13"/>
      <c r="AG9" s="13">
        <f t="shared" ref="AG9:AG10" si="2">SUM(AB9:AD9)</f>
        <v>0</v>
      </c>
    </row>
    <row r="10" spans="2:33">
      <c r="B10" s="13" t="s">
        <v>25</v>
      </c>
      <c r="C10" s="38">
        <v>58</v>
      </c>
      <c r="D10" s="37">
        <v>9</v>
      </c>
      <c r="E10" s="37"/>
      <c r="F10" s="37">
        <f t="shared" si="0"/>
        <v>67</v>
      </c>
      <c r="G10" s="46">
        <v>0</v>
      </c>
      <c r="H10" s="46">
        <v>10</v>
      </c>
      <c r="I10" s="46">
        <v>0</v>
      </c>
      <c r="J10" s="46">
        <v>0</v>
      </c>
      <c r="K10" s="46"/>
      <c r="L10" s="46">
        <v>0</v>
      </c>
      <c r="M10" s="46">
        <v>0</v>
      </c>
      <c r="N10" s="46">
        <v>10</v>
      </c>
      <c r="O10" s="46">
        <v>0</v>
      </c>
      <c r="P10" s="45">
        <f t="shared" si="1"/>
        <v>20</v>
      </c>
      <c r="Q10" s="35">
        <f>F10+P10</f>
        <v>87</v>
      </c>
      <c r="R10" s="12"/>
      <c r="S10" s="12"/>
      <c r="T10" s="12"/>
      <c r="U10" s="12"/>
      <c r="V10" s="28"/>
      <c r="W10" s="12">
        <f>Q10-SUM(R10:V10)</f>
        <v>87</v>
      </c>
      <c r="X10" s="12">
        <f>F10-R10-T10</f>
        <v>67</v>
      </c>
      <c r="Y10" s="12"/>
      <c r="Z10" s="12">
        <v>10</v>
      </c>
      <c r="AA10" s="12">
        <v>10</v>
      </c>
      <c r="AB10" s="12">
        <f t="shared" ref="AB10:AB11" si="3">((X10*375000)+(Y10*375000)+(Z10*250000)+(AA10*125000))</f>
        <v>28875000</v>
      </c>
      <c r="AC10" s="12">
        <f t="shared" ref="AC10:AC12" si="4">W10*33000</f>
        <v>2871000</v>
      </c>
      <c r="AD10" s="12"/>
      <c r="AE10" s="12"/>
      <c r="AF10" s="12"/>
      <c r="AG10" s="12">
        <f t="shared" si="2"/>
        <v>31746000</v>
      </c>
    </row>
    <row r="11" spans="2:33">
      <c r="B11" s="13" t="s">
        <v>26</v>
      </c>
      <c r="C11" s="38">
        <v>6</v>
      </c>
      <c r="D11" s="37">
        <v>13</v>
      </c>
      <c r="E11" s="37"/>
      <c r="F11" s="37">
        <f t="shared" si="0"/>
        <v>19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  <c r="L11" s="46">
        <v>0</v>
      </c>
      <c r="M11" s="46">
        <v>0</v>
      </c>
      <c r="N11" s="46">
        <v>0</v>
      </c>
      <c r="O11" s="46">
        <v>0</v>
      </c>
      <c r="P11" s="45">
        <f t="shared" si="1"/>
        <v>0</v>
      </c>
      <c r="Q11" s="35">
        <f>F11+P11</f>
        <v>19</v>
      </c>
      <c r="R11" s="12"/>
      <c r="S11" s="12"/>
      <c r="T11" s="12"/>
      <c r="U11" s="12"/>
      <c r="V11" s="28"/>
      <c r="W11" s="12">
        <f>Q11-SUM(R11:V11)</f>
        <v>19</v>
      </c>
      <c r="X11" s="12">
        <f>F11-R11-T11</f>
        <v>19</v>
      </c>
      <c r="Y11" s="12"/>
      <c r="Z11" s="12"/>
      <c r="AA11" s="12"/>
      <c r="AB11" s="12">
        <f t="shared" si="3"/>
        <v>7125000</v>
      </c>
      <c r="AC11" s="12">
        <f t="shared" si="4"/>
        <v>627000</v>
      </c>
      <c r="AD11" s="12"/>
      <c r="AE11" s="12">
        <f>W11*30000</f>
        <v>570000</v>
      </c>
      <c r="AF11" s="12">
        <f>W11*150000</f>
        <v>2850000</v>
      </c>
      <c r="AG11" s="12">
        <f>SUM(AB11:AD11)</f>
        <v>7752000</v>
      </c>
    </row>
    <row r="12" spans="2:33">
      <c r="B12" s="13" t="s">
        <v>22</v>
      </c>
      <c r="C12" s="38"/>
      <c r="D12" s="37"/>
      <c r="E12" s="37"/>
      <c r="F12" s="37">
        <f t="shared" si="0"/>
        <v>0</v>
      </c>
      <c r="G12" s="46">
        <v>0</v>
      </c>
      <c r="H12" s="46">
        <v>0</v>
      </c>
      <c r="I12" s="46">
        <v>0</v>
      </c>
      <c r="J12" s="46">
        <v>0</v>
      </c>
      <c r="K12" s="46">
        <v>0</v>
      </c>
      <c r="L12" s="46">
        <v>0</v>
      </c>
      <c r="M12" s="46">
        <v>0</v>
      </c>
      <c r="N12" s="46">
        <v>0</v>
      </c>
      <c r="O12" s="46">
        <v>0</v>
      </c>
      <c r="P12" s="45">
        <f t="shared" si="1"/>
        <v>0</v>
      </c>
      <c r="Q12" s="35">
        <f>F12+P12</f>
        <v>0</v>
      </c>
      <c r="R12" s="12"/>
      <c r="S12" s="12"/>
      <c r="T12" s="12"/>
      <c r="U12" s="12"/>
      <c r="V12" s="28"/>
      <c r="W12" s="12"/>
      <c r="X12" s="12">
        <f>F12-R12-T12</f>
        <v>0</v>
      </c>
      <c r="Y12" s="12"/>
      <c r="Z12" s="12"/>
      <c r="AA12" s="12"/>
      <c r="AB12" s="12">
        <f>((X12*375000)+(Y12*375000)+(Z12*250000)+(AA12*125000))</f>
        <v>0</v>
      </c>
      <c r="AC12" s="12">
        <f t="shared" si="4"/>
        <v>0</v>
      </c>
      <c r="AD12" s="12"/>
      <c r="AE12" s="12"/>
      <c r="AF12" s="12"/>
      <c r="AG12" s="12"/>
    </row>
    <row r="13" spans="2:33">
      <c r="B13" s="55" t="s">
        <v>69</v>
      </c>
      <c r="C13" s="55">
        <f>SUM(C8:C12)</f>
        <v>169</v>
      </c>
      <c r="D13" s="55">
        <f>SUM(D8:D12)</f>
        <v>62</v>
      </c>
      <c r="E13" s="55"/>
      <c r="F13" s="55">
        <f>SUM(F8:F12)</f>
        <v>231</v>
      </c>
      <c r="G13" s="55">
        <f>SUM(G8:G12)</f>
        <v>10</v>
      </c>
      <c r="H13" s="55">
        <f t="shared" ref="H13:AF13" si="5">SUM(H8:H12)</f>
        <v>30</v>
      </c>
      <c r="I13" s="55">
        <f t="shared" si="5"/>
        <v>0</v>
      </c>
      <c r="J13" s="55">
        <f t="shared" si="5"/>
        <v>0</v>
      </c>
      <c r="K13" s="55">
        <f t="shared" si="5"/>
        <v>0</v>
      </c>
      <c r="L13" s="55">
        <f t="shared" si="5"/>
        <v>0</v>
      </c>
      <c r="M13" s="55">
        <f t="shared" si="5"/>
        <v>0</v>
      </c>
      <c r="N13" s="55">
        <f t="shared" si="5"/>
        <v>10</v>
      </c>
      <c r="O13" s="55">
        <f t="shared" si="5"/>
        <v>0</v>
      </c>
      <c r="P13" s="55">
        <f t="shared" si="5"/>
        <v>50</v>
      </c>
      <c r="Q13" s="55">
        <f t="shared" si="5"/>
        <v>281</v>
      </c>
      <c r="R13" s="55">
        <f t="shared" si="5"/>
        <v>0</v>
      </c>
      <c r="S13" s="55">
        <f t="shared" ref="S13" si="6">SUM(S8:S12)</f>
        <v>0</v>
      </c>
      <c r="T13" s="55">
        <f t="shared" ref="T13" si="7">SUM(T8:T12)</f>
        <v>87</v>
      </c>
      <c r="U13" s="55">
        <f>SUM(U8:U12)</f>
        <v>50</v>
      </c>
      <c r="V13" s="55">
        <f t="shared" ref="V13" si="8">SUM(V8:V12)</f>
        <v>40</v>
      </c>
      <c r="W13" s="55">
        <f>SUM(W8:W12)</f>
        <v>104</v>
      </c>
      <c r="X13" s="55">
        <f>SUM(X8:X12)</f>
        <v>144</v>
      </c>
      <c r="Y13" s="55">
        <f t="shared" ref="Y13:AA13" si="9">SUM(Y8:Y12)</f>
        <v>0</v>
      </c>
      <c r="Z13" s="55">
        <f t="shared" si="9"/>
        <v>20</v>
      </c>
      <c r="AA13" s="55">
        <f t="shared" si="9"/>
        <v>10</v>
      </c>
      <c r="AB13" s="55">
        <f t="shared" si="5"/>
        <v>59500000</v>
      </c>
      <c r="AC13" s="55">
        <f t="shared" si="5"/>
        <v>3366000</v>
      </c>
      <c r="AD13" s="55">
        <f t="shared" si="5"/>
        <v>-20000</v>
      </c>
      <c r="AE13" s="55">
        <f t="shared" si="5"/>
        <v>570000</v>
      </c>
      <c r="AF13" s="55">
        <f t="shared" si="5"/>
        <v>2850000</v>
      </c>
      <c r="AG13" s="55">
        <f>SUM(AG8:AG12)</f>
        <v>62846000</v>
      </c>
    </row>
    <row r="14" spans="2:33">
      <c r="B14" s="55" t="s">
        <v>286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</row>
    <row r="15" spans="2:33">
      <c r="B15" s="13" t="s">
        <v>23</v>
      </c>
      <c r="C15" s="27">
        <v>48</v>
      </c>
      <c r="D15" s="27">
        <v>0</v>
      </c>
      <c r="E15" s="27">
        <v>0</v>
      </c>
      <c r="F15" s="27">
        <f>SUM(C15:E15)</f>
        <v>48</v>
      </c>
      <c r="G15" s="27">
        <v>40</v>
      </c>
      <c r="H15" s="27">
        <v>20</v>
      </c>
      <c r="I15" s="27">
        <v>0</v>
      </c>
      <c r="J15" s="27">
        <v>20</v>
      </c>
      <c r="K15" s="27">
        <v>20</v>
      </c>
      <c r="L15" s="27">
        <v>0</v>
      </c>
      <c r="M15" s="27"/>
      <c r="N15" s="27"/>
      <c r="O15" s="27"/>
      <c r="P15" s="27">
        <f>SUM(G15:O15)</f>
        <v>100</v>
      </c>
      <c r="Q15" s="27">
        <f>F15+P15</f>
        <v>148</v>
      </c>
      <c r="R15" s="27"/>
      <c r="S15" s="27"/>
      <c r="T15" s="27"/>
      <c r="U15" s="27"/>
      <c r="V15" s="27"/>
      <c r="W15" s="27">
        <f>Q15-SUM(R15:V15)</f>
        <v>148</v>
      </c>
      <c r="X15" s="27">
        <f>F15-R15-T15</f>
        <v>48</v>
      </c>
      <c r="Y15" s="27"/>
      <c r="Z15" s="27"/>
      <c r="AA15" s="27">
        <v>70</v>
      </c>
      <c r="AB15" s="27">
        <f>((X15*375000)+(Y15*375000)+(Z15*250000)+(AA15*125000))</f>
        <v>26750000</v>
      </c>
      <c r="AC15" s="27">
        <f>W15*33000</f>
        <v>4884000</v>
      </c>
      <c r="AD15" s="27">
        <f>W15*5000</f>
        <v>740000</v>
      </c>
      <c r="AE15" s="27"/>
      <c r="AF15" s="27"/>
      <c r="AG15" s="27">
        <f>SUM(AB15:AD15)</f>
        <v>32374000</v>
      </c>
    </row>
    <row r="16" spans="2:33">
      <c r="B16" s="13" t="s">
        <v>24</v>
      </c>
      <c r="C16" s="27">
        <v>0</v>
      </c>
      <c r="D16" s="27">
        <v>0</v>
      </c>
      <c r="E16" s="27">
        <v>0</v>
      </c>
      <c r="F16" s="27">
        <f t="shared" ref="F16:F19" si="10">SUM(C16:E16)</f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f t="shared" ref="P16:P19" si="11">SUM(G16:O16)</f>
        <v>0</v>
      </c>
      <c r="Q16" s="27">
        <f t="shared" ref="Q16:Q19" si="12">F16+P16</f>
        <v>0</v>
      </c>
      <c r="R16" s="27"/>
      <c r="S16" s="27"/>
      <c r="T16" s="27"/>
      <c r="U16" s="27"/>
      <c r="V16" s="27"/>
      <c r="W16" s="27">
        <f t="shared" ref="W16:W19" si="13">Q16-SUM(R16:V16)</f>
        <v>0</v>
      </c>
      <c r="X16" s="27">
        <f t="shared" ref="X16:X19" si="14">F16-R16-T16</f>
        <v>0</v>
      </c>
      <c r="Y16" s="27"/>
      <c r="Z16" s="27"/>
      <c r="AA16" s="27"/>
      <c r="AB16" s="27"/>
      <c r="AC16" s="27">
        <f t="shared" ref="AC16:AC19" si="15">W16*33000</f>
        <v>0</v>
      </c>
      <c r="AD16" s="27">
        <f t="shared" ref="AD16:AD18" si="16">W16*5000</f>
        <v>0</v>
      </c>
      <c r="AE16" s="27">
        <v>0</v>
      </c>
      <c r="AF16" s="27">
        <v>0</v>
      </c>
      <c r="AG16" s="27">
        <f t="shared" ref="AG16:AG18" si="17">SUM(AB16:AD16)</f>
        <v>0</v>
      </c>
    </row>
    <row r="17" spans="2:33">
      <c r="B17" s="13" t="s">
        <v>25</v>
      </c>
      <c r="C17" s="27">
        <v>0</v>
      </c>
      <c r="D17" s="27">
        <v>0</v>
      </c>
      <c r="E17" s="27">
        <v>0</v>
      </c>
      <c r="F17" s="27">
        <f t="shared" si="10"/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f t="shared" si="11"/>
        <v>0</v>
      </c>
      <c r="Q17" s="27">
        <f t="shared" si="12"/>
        <v>0</v>
      </c>
      <c r="R17" s="27"/>
      <c r="S17" s="27"/>
      <c r="T17" s="27"/>
      <c r="U17" s="27"/>
      <c r="V17" s="27"/>
      <c r="W17" s="27">
        <f t="shared" si="13"/>
        <v>0</v>
      </c>
      <c r="X17" s="27">
        <f t="shared" si="14"/>
        <v>0</v>
      </c>
      <c r="Y17" s="27"/>
      <c r="Z17" s="27"/>
      <c r="AA17" s="27"/>
      <c r="AB17" s="27"/>
      <c r="AC17" s="27">
        <f t="shared" si="15"/>
        <v>0</v>
      </c>
      <c r="AD17" s="27">
        <f t="shared" si="16"/>
        <v>0</v>
      </c>
      <c r="AE17" s="27">
        <v>0</v>
      </c>
      <c r="AF17" s="27">
        <v>0</v>
      </c>
      <c r="AG17" s="27">
        <f t="shared" si="17"/>
        <v>0</v>
      </c>
    </row>
    <row r="18" spans="2:33">
      <c r="B18" s="13" t="s">
        <v>26</v>
      </c>
      <c r="C18" s="27">
        <v>0</v>
      </c>
      <c r="D18" s="27">
        <v>0</v>
      </c>
      <c r="E18" s="27">
        <v>0</v>
      </c>
      <c r="F18" s="27">
        <f t="shared" si="10"/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f t="shared" si="11"/>
        <v>0</v>
      </c>
      <c r="Q18" s="27">
        <f t="shared" si="12"/>
        <v>0</v>
      </c>
      <c r="R18" s="27"/>
      <c r="S18" s="27"/>
      <c r="T18" s="27"/>
      <c r="U18" s="27"/>
      <c r="V18" s="27"/>
      <c r="W18" s="27">
        <f t="shared" si="13"/>
        <v>0</v>
      </c>
      <c r="X18" s="27">
        <f t="shared" si="14"/>
        <v>0</v>
      </c>
      <c r="Y18" s="27"/>
      <c r="Z18" s="27"/>
      <c r="AA18" s="27"/>
      <c r="AB18" s="27"/>
      <c r="AC18" s="27">
        <f t="shared" si="15"/>
        <v>0</v>
      </c>
      <c r="AD18" s="27">
        <f t="shared" si="16"/>
        <v>0</v>
      </c>
      <c r="AE18" s="27">
        <v>0</v>
      </c>
      <c r="AF18" s="27">
        <v>0</v>
      </c>
      <c r="AG18" s="27">
        <f t="shared" si="17"/>
        <v>0</v>
      </c>
    </row>
    <row r="19" spans="2:33">
      <c r="B19" s="13" t="s">
        <v>22</v>
      </c>
      <c r="C19" s="27">
        <v>0</v>
      </c>
      <c r="D19" s="27">
        <v>0</v>
      </c>
      <c r="E19" s="27">
        <v>0</v>
      </c>
      <c r="F19" s="27">
        <f t="shared" si="10"/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f t="shared" si="11"/>
        <v>0</v>
      </c>
      <c r="Q19" s="27">
        <f t="shared" si="12"/>
        <v>0</v>
      </c>
      <c r="R19" s="27"/>
      <c r="S19" s="27"/>
      <c r="T19" s="27"/>
      <c r="U19" s="27"/>
      <c r="V19" s="27"/>
      <c r="W19" s="27">
        <f t="shared" si="13"/>
        <v>0</v>
      </c>
      <c r="X19" s="27">
        <f t="shared" si="14"/>
        <v>0</v>
      </c>
      <c r="Y19" s="27"/>
      <c r="Z19" s="27"/>
      <c r="AA19" s="27"/>
      <c r="AB19" s="27"/>
      <c r="AC19" s="27">
        <f t="shared" si="15"/>
        <v>0</v>
      </c>
      <c r="AD19" s="27">
        <f>W19*5000</f>
        <v>0</v>
      </c>
      <c r="AE19" s="27">
        <v>0</v>
      </c>
      <c r="AF19" s="27">
        <v>0</v>
      </c>
      <c r="AG19" s="27">
        <f>SUM(AB19:AD19)</f>
        <v>0</v>
      </c>
    </row>
    <row r="20" spans="2:33">
      <c r="B20" s="55" t="s">
        <v>275</v>
      </c>
      <c r="C20" s="55">
        <f>SUM(C15:C19)</f>
        <v>48</v>
      </c>
      <c r="D20" s="55">
        <f t="shared" ref="D20:E20" si="18">SUM(D15:D19)</f>
        <v>0</v>
      </c>
      <c r="E20" s="55">
        <f t="shared" si="18"/>
        <v>0</v>
      </c>
      <c r="F20" s="55">
        <f>SUM(F15:F19)</f>
        <v>48</v>
      </c>
      <c r="G20" s="55">
        <f t="shared" ref="G20:AF20" si="19">SUM(G15:G19)</f>
        <v>40</v>
      </c>
      <c r="H20" s="55">
        <f t="shared" si="19"/>
        <v>20</v>
      </c>
      <c r="I20" s="55">
        <f t="shared" si="19"/>
        <v>0</v>
      </c>
      <c r="J20" s="55">
        <f t="shared" si="19"/>
        <v>20</v>
      </c>
      <c r="K20" s="55">
        <f t="shared" si="19"/>
        <v>20</v>
      </c>
      <c r="L20" s="55">
        <f t="shared" si="19"/>
        <v>0</v>
      </c>
      <c r="M20" s="55">
        <f t="shared" si="19"/>
        <v>0</v>
      </c>
      <c r="N20" s="55">
        <f t="shared" si="19"/>
        <v>0</v>
      </c>
      <c r="O20" s="55">
        <f t="shared" si="19"/>
        <v>0</v>
      </c>
      <c r="P20" s="55">
        <f t="shared" si="19"/>
        <v>100</v>
      </c>
      <c r="Q20" s="55">
        <f t="shared" si="19"/>
        <v>148</v>
      </c>
      <c r="R20" s="55">
        <f t="shared" si="19"/>
        <v>0</v>
      </c>
      <c r="S20" s="55">
        <f t="shared" si="19"/>
        <v>0</v>
      </c>
      <c r="T20" s="55">
        <f t="shared" si="19"/>
        <v>0</v>
      </c>
      <c r="U20" s="55">
        <f t="shared" si="19"/>
        <v>0</v>
      </c>
      <c r="V20" s="55">
        <f t="shared" si="19"/>
        <v>0</v>
      </c>
      <c r="W20" s="55">
        <f t="shared" si="19"/>
        <v>148</v>
      </c>
      <c r="X20" s="55">
        <f t="shared" si="19"/>
        <v>48</v>
      </c>
      <c r="Y20" s="55">
        <f t="shared" si="19"/>
        <v>0</v>
      </c>
      <c r="Z20" s="55">
        <f t="shared" si="19"/>
        <v>0</v>
      </c>
      <c r="AA20" s="55">
        <f t="shared" si="19"/>
        <v>70</v>
      </c>
      <c r="AB20" s="55">
        <f t="shared" si="19"/>
        <v>26750000</v>
      </c>
      <c r="AC20" s="55">
        <f t="shared" si="19"/>
        <v>4884000</v>
      </c>
      <c r="AD20" s="55">
        <f t="shared" si="19"/>
        <v>740000</v>
      </c>
      <c r="AE20" s="55">
        <f t="shared" si="19"/>
        <v>0</v>
      </c>
      <c r="AF20" s="55">
        <f t="shared" si="19"/>
        <v>0</v>
      </c>
      <c r="AG20" s="55">
        <f>SUM(AG15:AG19)</f>
        <v>32374000</v>
      </c>
    </row>
    <row r="21" spans="2:33">
      <c r="B21" s="25" t="s">
        <v>74</v>
      </c>
      <c r="C21" s="25"/>
      <c r="D21" s="25"/>
      <c r="E21" s="50"/>
      <c r="F21" s="25">
        <f>F13+F20</f>
        <v>279</v>
      </c>
      <c r="G21" s="25">
        <f t="shared" ref="G21:AG21" si="20">G13+G20</f>
        <v>50</v>
      </c>
      <c r="H21" s="25">
        <f t="shared" si="20"/>
        <v>50</v>
      </c>
      <c r="I21" s="25">
        <f t="shared" si="20"/>
        <v>0</v>
      </c>
      <c r="J21" s="25">
        <f t="shared" si="20"/>
        <v>20</v>
      </c>
      <c r="K21" s="25">
        <f t="shared" si="20"/>
        <v>20</v>
      </c>
      <c r="L21" s="25">
        <f t="shared" si="20"/>
        <v>0</v>
      </c>
      <c r="M21" s="25">
        <f t="shared" si="20"/>
        <v>0</v>
      </c>
      <c r="N21" s="25">
        <f t="shared" si="20"/>
        <v>10</v>
      </c>
      <c r="O21" s="25">
        <f t="shared" si="20"/>
        <v>0</v>
      </c>
      <c r="P21" s="25">
        <f t="shared" si="20"/>
        <v>150</v>
      </c>
      <c r="Q21" s="25">
        <f t="shared" si="20"/>
        <v>429</v>
      </c>
      <c r="R21" s="25">
        <f t="shared" si="20"/>
        <v>0</v>
      </c>
      <c r="S21" s="25">
        <f t="shared" si="20"/>
        <v>0</v>
      </c>
      <c r="T21" s="25">
        <f t="shared" si="20"/>
        <v>87</v>
      </c>
      <c r="U21" s="25">
        <f t="shared" si="20"/>
        <v>50</v>
      </c>
      <c r="V21" s="25">
        <f t="shared" si="20"/>
        <v>40</v>
      </c>
      <c r="W21" s="25">
        <f t="shared" si="20"/>
        <v>252</v>
      </c>
      <c r="X21" s="25">
        <f t="shared" si="20"/>
        <v>192</v>
      </c>
      <c r="Y21" s="25">
        <f t="shared" si="20"/>
        <v>0</v>
      </c>
      <c r="Z21" s="25">
        <f t="shared" si="20"/>
        <v>20</v>
      </c>
      <c r="AA21" s="25">
        <f t="shared" si="20"/>
        <v>80</v>
      </c>
      <c r="AB21" s="25">
        <f t="shared" si="20"/>
        <v>86250000</v>
      </c>
      <c r="AC21" s="25">
        <f t="shared" si="20"/>
        <v>8250000</v>
      </c>
      <c r="AD21" s="25">
        <f t="shared" si="20"/>
        <v>720000</v>
      </c>
      <c r="AE21" s="25">
        <f t="shared" si="20"/>
        <v>570000</v>
      </c>
      <c r="AF21" s="25">
        <f t="shared" si="20"/>
        <v>2850000</v>
      </c>
      <c r="AG21" s="25">
        <f t="shared" si="20"/>
        <v>95220000</v>
      </c>
    </row>
    <row r="22" spans="2:33">
      <c r="B22" s="13" t="s">
        <v>39</v>
      </c>
      <c r="C22" s="41"/>
      <c r="D22" s="38"/>
      <c r="E22" s="38"/>
      <c r="F22" s="37"/>
      <c r="G22" s="46"/>
      <c r="H22" s="46"/>
      <c r="I22" s="46"/>
      <c r="J22" s="46"/>
      <c r="K22" s="46"/>
      <c r="L22" s="46"/>
      <c r="M22" s="46"/>
      <c r="N22" s="46"/>
      <c r="O22" s="46"/>
      <c r="P22" s="45">
        <f t="shared" si="1"/>
        <v>0</v>
      </c>
      <c r="Q22" s="35"/>
      <c r="R22" s="12"/>
      <c r="S22" s="12"/>
      <c r="T22" s="12"/>
      <c r="U22" s="12"/>
      <c r="V22" s="28"/>
      <c r="W22" s="12"/>
      <c r="X22" s="12">
        <f t="shared" ref="X22:X28" si="21">F22-R22-T22</f>
        <v>0</v>
      </c>
      <c r="Y22" s="12"/>
      <c r="Z22" s="12"/>
      <c r="AA22" s="12"/>
      <c r="AB22" s="12"/>
      <c r="AC22" s="12"/>
      <c r="AD22" s="12"/>
      <c r="AE22" s="12"/>
      <c r="AF22" s="12"/>
      <c r="AG22" s="12"/>
    </row>
    <row r="23" spans="2:33">
      <c r="B23" s="13" t="s">
        <v>23</v>
      </c>
      <c r="C23" s="38">
        <v>0</v>
      </c>
      <c r="D23" s="38"/>
      <c r="E23" s="38"/>
      <c r="F23" s="37">
        <f t="shared" si="0"/>
        <v>0</v>
      </c>
      <c r="G23" s="46"/>
      <c r="H23" s="46">
        <v>10</v>
      </c>
      <c r="I23" s="46"/>
      <c r="J23" s="46"/>
      <c r="K23" s="46">
        <v>20</v>
      </c>
      <c r="L23" s="46"/>
      <c r="M23" s="46"/>
      <c r="N23" s="46">
        <v>10</v>
      </c>
      <c r="O23" s="46"/>
      <c r="P23" s="45">
        <f t="shared" si="1"/>
        <v>40</v>
      </c>
      <c r="Q23" s="35">
        <f t="shared" ref="Q23:Q28" si="22">F23+P23</f>
        <v>40</v>
      </c>
      <c r="R23" s="12"/>
      <c r="S23" s="12"/>
      <c r="T23" s="12"/>
      <c r="U23" s="12"/>
      <c r="V23" s="27"/>
      <c r="W23" s="12">
        <f t="shared" ref="W23:W28" si="23">Q23-SUM(R23:V23)</f>
        <v>40</v>
      </c>
      <c r="X23" s="12">
        <f>F23-R23-T23</f>
        <v>0</v>
      </c>
      <c r="Y23" s="12">
        <v>10</v>
      </c>
      <c r="Z23" s="12">
        <v>20</v>
      </c>
      <c r="AA23" s="12">
        <v>10</v>
      </c>
      <c r="AB23" s="12">
        <f>((X23*375000)+(Y23*375000)+(Z23*250000)+(AA23*125000))</f>
        <v>10000000</v>
      </c>
      <c r="AC23" s="12">
        <f>W23*33000</f>
        <v>1320000</v>
      </c>
      <c r="AD23" s="12">
        <f>W23*5000</f>
        <v>200000</v>
      </c>
      <c r="AE23" s="12"/>
      <c r="AF23" s="12"/>
      <c r="AG23" s="12">
        <f t="shared" ref="AG23:AG28" si="24">SUM(AB23:AD23)</f>
        <v>11520000</v>
      </c>
    </row>
    <row r="24" spans="2:33">
      <c r="B24" s="13" t="s">
        <v>24</v>
      </c>
      <c r="C24" s="38">
        <v>0</v>
      </c>
      <c r="D24" s="38">
        <v>53</v>
      </c>
      <c r="E24" s="38">
        <v>0</v>
      </c>
      <c r="F24" s="37">
        <f t="shared" si="0"/>
        <v>53</v>
      </c>
      <c r="G24" s="46"/>
      <c r="H24" s="46"/>
      <c r="I24" s="46"/>
      <c r="J24" s="46"/>
      <c r="K24" s="46"/>
      <c r="L24" s="46"/>
      <c r="M24" s="46"/>
      <c r="N24" s="46"/>
      <c r="O24" s="46"/>
      <c r="P24" s="45">
        <f t="shared" si="1"/>
        <v>0</v>
      </c>
      <c r="Q24" s="35">
        <f t="shared" si="22"/>
        <v>53</v>
      </c>
      <c r="R24" s="12"/>
      <c r="S24" s="12"/>
      <c r="T24" s="12"/>
      <c r="U24" s="12"/>
      <c r="V24" s="27"/>
      <c r="W24" s="12">
        <f t="shared" si="23"/>
        <v>53</v>
      </c>
      <c r="X24" s="12">
        <f t="shared" si="21"/>
        <v>53</v>
      </c>
      <c r="Y24" s="12"/>
      <c r="Z24" s="12"/>
      <c r="AA24" s="12"/>
      <c r="AB24" s="12">
        <f t="shared" ref="AB24:AB26" si="25">((X24*375000)+(Y24*375000)+(Z24*250000)+(AA24*125000))</f>
        <v>19875000</v>
      </c>
      <c r="AC24" s="12">
        <f t="shared" ref="AC24:AC27" si="26">W24*33000</f>
        <v>1749000</v>
      </c>
      <c r="AD24" s="12"/>
      <c r="AE24" s="12"/>
      <c r="AF24" s="12"/>
      <c r="AG24" s="12">
        <f t="shared" si="24"/>
        <v>21624000</v>
      </c>
    </row>
    <row r="25" spans="2:33" ht="14.25" customHeight="1">
      <c r="B25" s="13" t="s">
        <v>25</v>
      </c>
      <c r="C25" s="38">
        <v>0</v>
      </c>
      <c r="D25" s="38">
        <v>17</v>
      </c>
      <c r="E25" s="38">
        <v>0</v>
      </c>
      <c r="F25" s="37">
        <f t="shared" si="0"/>
        <v>17</v>
      </c>
      <c r="G25" s="46"/>
      <c r="H25" s="46"/>
      <c r="I25" s="46"/>
      <c r="J25" s="46"/>
      <c r="K25" s="46"/>
      <c r="L25" s="46"/>
      <c r="M25" s="46"/>
      <c r="N25" s="46"/>
      <c r="O25" s="46"/>
      <c r="P25" s="45">
        <f t="shared" si="1"/>
        <v>0</v>
      </c>
      <c r="Q25" s="35">
        <f t="shared" si="22"/>
        <v>17</v>
      </c>
      <c r="R25" s="12"/>
      <c r="S25" s="12"/>
      <c r="T25" s="12"/>
      <c r="U25" s="12"/>
      <c r="V25" s="27"/>
      <c r="W25" s="12">
        <f t="shared" si="23"/>
        <v>17</v>
      </c>
      <c r="X25" s="12">
        <f t="shared" si="21"/>
        <v>17</v>
      </c>
      <c r="Y25" s="12"/>
      <c r="Z25" s="12"/>
      <c r="AA25" s="12"/>
      <c r="AB25" s="12">
        <f t="shared" si="25"/>
        <v>6375000</v>
      </c>
      <c r="AC25" s="12">
        <f t="shared" si="26"/>
        <v>561000</v>
      </c>
      <c r="AD25" s="12"/>
      <c r="AE25" s="12"/>
      <c r="AF25" s="12"/>
      <c r="AG25" s="12">
        <f t="shared" si="24"/>
        <v>6936000</v>
      </c>
    </row>
    <row r="26" spans="2:33">
      <c r="B26" s="13" t="s">
        <v>26</v>
      </c>
      <c r="C26" s="38">
        <v>0</v>
      </c>
      <c r="D26" s="38">
        <v>21</v>
      </c>
      <c r="E26" s="38">
        <v>0</v>
      </c>
      <c r="F26" s="37">
        <f t="shared" si="0"/>
        <v>21</v>
      </c>
      <c r="G26" s="46"/>
      <c r="H26" s="46"/>
      <c r="I26" s="46"/>
      <c r="J26" s="46"/>
      <c r="K26" s="46"/>
      <c r="L26" s="46"/>
      <c r="M26" s="46"/>
      <c r="N26" s="46"/>
      <c r="O26" s="46"/>
      <c r="P26" s="45">
        <f t="shared" si="1"/>
        <v>0</v>
      </c>
      <c r="Q26" s="35">
        <f t="shared" si="22"/>
        <v>21</v>
      </c>
      <c r="R26" s="12"/>
      <c r="S26" s="12"/>
      <c r="T26" s="12"/>
      <c r="U26" s="12"/>
      <c r="V26" s="27"/>
      <c r="W26" s="12">
        <f t="shared" si="23"/>
        <v>21</v>
      </c>
      <c r="X26" s="12">
        <f t="shared" si="21"/>
        <v>21</v>
      </c>
      <c r="Y26" s="12"/>
      <c r="Z26" s="12"/>
      <c r="AA26" s="12"/>
      <c r="AB26" s="12">
        <f t="shared" si="25"/>
        <v>7875000</v>
      </c>
      <c r="AC26" s="12">
        <f t="shared" si="26"/>
        <v>693000</v>
      </c>
      <c r="AD26" s="12"/>
      <c r="AE26" s="12">
        <f>W26*30000</f>
        <v>630000</v>
      </c>
      <c r="AF26" s="12">
        <f>W26*150000</f>
        <v>3150000</v>
      </c>
      <c r="AG26" s="12">
        <f t="shared" si="24"/>
        <v>8568000</v>
      </c>
    </row>
    <row r="27" spans="2:33">
      <c r="B27" s="13" t="s">
        <v>22</v>
      </c>
      <c r="C27" s="38"/>
      <c r="D27" s="38">
        <v>14</v>
      </c>
      <c r="E27" s="38">
        <v>0</v>
      </c>
      <c r="F27" s="37">
        <f t="shared" si="0"/>
        <v>14</v>
      </c>
      <c r="G27" s="46"/>
      <c r="H27" s="46"/>
      <c r="I27" s="46"/>
      <c r="J27" s="46"/>
      <c r="K27" s="46"/>
      <c r="L27" s="46"/>
      <c r="M27" s="46"/>
      <c r="N27" s="46"/>
      <c r="O27" s="46"/>
      <c r="P27" s="45">
        <f t="shared" si="1"/>
        <v>0</v>
      </c>
      <c r="Q27" s="35">
        <f t="shared" si="22"/>
        <v>14</v>
      </c>
      <c r="R27" s="12"/>
      <c r="S27" s="12"/>
      <c r="T27" s="12"/>
      <c r="U27" s="12"/>
      <c r="V27" s="27"/>
      <c r="W27" s="12">
        <f t="shared" si="23"/>
        <v>14</v>
      </c>
      <c r="X27" s="12">
        <f t="shared" si="21"/>
        <v>14</v>
      </c>
      <c r="Y27" s="12"/>
      <c r="Z27" s="12"/>
      <c r="AA27" s="12"/>
      <c r="AB27" s="12">
        <f>((X27*375000)+(Y27*375000)+(Z27*250000)+(AA27*125000))</f>
        <v>5250000</v>
      </c>
      <c r="AC27" s="12">
        <f t="shared" si="26"/>
        <v>462000</v>
      </c>
      <c r="AD27" s="12"/>
      <c r="AE27" s="12"/>
      <c r="AF27" s="12"/>
      <c r="AG27" s="12">
        <f t="shared" si="24"/>
        <v>5712000</v>
      </c>
    </row>
    <row r="28" spans="2:33">
      <c r="B28" s="13" t="s">
        <v>45</v>
      </c>
      <c r="C28" s="38">
        <v>0</v>
      </c>
      <c r="D28" s="38">
        <v>0</v>
      </c>
      <c r="E28" s="38">
        <v>0</v>
      </c>
      <c r="F28" s="37">
        <f t="shared" si="0"/>
        <v>0</v>
      </c>
      <c r="G28" s="46"/>
      <c r="H28" s="46"/>
      <c r="I28" s="46"/>
      <c r="J28" s="46"/>
      <c r="K28" s="46"/>
      <c r="L28" s="46"/>
      <c r="M28" s="46"/>
      <c r="N28" s="46"/>
      <c r="O28" s="46"/>
      <c r="P28" s="45">
        <f t="shared" si="1"/>
        <v>0</v>
      </c>
      <c r="Q28" s="35">
        <f t="shared" si="22"/>
        <v>0</v>
      </c>
      <c r="R28" s="12"/>
      <c r="S28" s="12"/>
      <c r="T28" s="12"/>
      <c r="U28" s="12"/>
      <c r="V28" s="27"/>
      <c r="W28" s="12">
        <f t="shared" si="23"/>
        <v>0</v>
      </c>
      <c r="X28" s="12">
        <f t="shared" si="21"/>
        <v>0</v>
      </c>
      <c r="Y28" s="12"/>
      <c r="Z28" s="12"/>
      <c r="AA28" s="12"/>
      <c r="AB28" s="12">
        <f>((X28*375000)+(Y28*375000)+(Z28*250000)+(AA28*125000))</f>
        <v>0</v>
      </c>
      <c r="AC28" s="12">
        <f>W28*33000</f>
        <v>0</v>
      </c>
      <c r="AD28" s="12"/>
      <c r="AE28" s="12"/>
      <c r="AF28" s="12"/>
      <c r="AG28" s="12">
        <f t="shared" si="24"/>
        <v>0</v>
      </c>
    </row>
    <row r="29" spans="2:33">
      <c r="B29" s="25" t="s">
        <v>75</v>
      </c>
      <c r="C29" s="25">
        <v>0</v>
      </c>
      <c r="D29" s="25">
        <f>SUM(D23:D28)</f>
        <v>105</v>
      </c>
      <c r="E29" s="50"/>
      <c r="F29" s="25">
        <f>SUM(F23:F28)</f>
        <v>105</v>
      </c>
      <c r="G29" s="25">
        <f t="shared" ref="G29:AG29" si="27">SUM(G23:G28)</f>
        <v>0</v>
      </c>
      <c r="H29" s="25">
        <f t="shared" si="27"/>
        <v>10</v>
      </c>
      <c r="I29" s="25">
        <f t="shared" si="27"/>
        <v>0</v>
      </c>
      <c r="J29" s="25">
        <f t="shared" si="27"/>
        <v>0</v>
      </c>
      <c r="K29" s="25">
        <f t="shared" si="27"/>
        <v>20</v>
      </c>
      <c r="L29" s="25">
        <f t="shared" si="27"/>
        <v>0</v>
      </c>
      <c r="M29" s="25">
        <f t="shared" si="27"/>
        <v>0</v>
      </c>
      <c r="N29" s="25">
        <f t="shared" si="27"/>
        <v>10</v>
      </c>
      <c r="O29" s="25">
        <f t="shared" si="27"/>
        <v>0</v>
      </c>
      <c r="P29" s="25">
        <f t="shared" si="27"/>
        <v>40</v>
      </c>
      <c r="Q29" s="25">
        <f>SUM(Q23:Q28)</f>
        <v>145</v>
      </c>
      <c r="R29" s="25">
        <f t="shared" si="27"/>
        <v>0</v>
      </c>
      <c r="S29" s="25">
        <f t="shared" ref="S29" si="28">SUM(S23:S28)</f>
        <v>0</v>
      </c>
      <c r="T29" s="25">
        <f t="shared" ref="T29" si="29">SUM(T23:T28)</f>
        <v>0</v>
      </c>
      <c r="U29" s="25">
        <f t="shared" ref="U29" si="30">SUM(U23:U28)</f>
        <v>0</v>
      </c>
      <c r="V29" s="25">
        <f t="shared" ref="V29" si="31">SUM(V23:V28)</f>
        <v>0</v>
      </c>
      <c r="W29" s="25">
        <f t="shared" ref="W29:AA29" si="32">SUM(W23:W28)</f>
        <v>145</v>
      </c>
      <c r="X29" s="25">
        <f>SUM(X23:X28)</f>
        <v>105</v>
      </c>
      <c r="Y29" s="25">
        <f t="shared" si="32"/>
        <v>10</v>
      </c>
      <c r="Z29" s="25">
        <f t="shared" si="32"/>
        <v>20</v>
      </c>
      <c r="AA29" s="25">
        <f t="shared" si="32"/>
        <v>10</v>
      </c>
      <c r="AB29" s="25">
        <f t="shared" ref="AB29" si="33">SUM(AB23:AB28)</f>
        <v>49375000</v>
      </c>
      <c r="AC29" s="25">
        <f t="shared" ref="AC29" si="34">SUM(AC23:AC28)</f>
        <v>4785000</v>
      </c>
      <c r="AD29" s="25">
        <f t="shared" si="27"/>
        <v>200000</v>
      </c>
      <c r="AE29" s="25">
        <f t="shared" si="27"/>
        <v>630000</v>
      </c>
      <c r="AF29" s="25">
        <f t="shared" si="27"/>
        <v>3150000</v>
      </c>
      <c r="AG29" s="25">
        <f t="shared" si="27"/>
        <v>54360000</v>
      </c>
    </row>
    <row r="30" spans="2:33">
      <c r="B30" s="13" t="s">
        <v>40</v>
      </c>
      <c r="C30" s="38"/>
      <c r="D30" s="40"/>
      <c r="E30" s="40"/>
      <c r="F30" s="37"/>
      <c r="G30" s="46"/>
      <c r="H30" s="46"/>
      <c r="I30" s="46"/>
      <c r="J30" s="46"/>
      <c r="K30" s="46"/>
      <c r="L30" s="46"/>
      <c r="M30" s="46"/>
      <c r="N30" s="46"/>
      <c r="O30" s="46"/>
      <c r="P30" s="45"/>
      <c r="Q30" s="13"/>
      <c r="R30" s="12"/>
      <c r="S30" s="12"/>
      <c r="T30" s="12"/>
      <c r="U30" s="12"/>
      <c r="V30" s="33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2:33">
      <c r="B31" s="31" t="s">
        <v>61</v>
      </c>
      <c r="C31" s="39"/>
      <c r="D31" s="40"/>
      <c r="E31" s="40"/>
      <c r="F31" s="37"/>
      <c r="G31" s="46"/>
      <c r="H31" s="46"/>
      <c r="I31" s="46"/>
      <c r="J31" s="46"/>
      <c r="K31" s="46"/>
      <c r="L31" s="46"/>
      <c r="M31" s="46"/>
      <c r="N31" s="46"/>
      <c r="O31" s="46"/>
      <c r="P31" s="45">
        <f t="shared" si="1"/>
        <v>0</v>
      </c>
      <c r="Q31" s="35">
        <f t="shared" ref="Q31:Q37" si="35">F31+P31</f>
        <v>0</v>
      </c>
      <c r="R31" s="12"/>
      <c r="S31" s="12"/>
      <c r="T31" s="12"/>
      <c r="U31" s="12"/>
      <c r="V31" s="33"/>
      <c r="W31" s="12"/>
      <c r="X31" s="12">
        <f t="shared" ref="X31:X37" si="36">F31-R31-T31</f>
        <v>0</v>
      </c>
      <c r="Y31" s="12"/>
      <c r="Z31" s="12"/>
      <c r="AA31" s="12"/>
      <c r="AB31" s="12"/>
      <c r="AC31" s="12"/>
      <c r="AD31" s="12"/>
      <c r="AE31" s="12"/>
      <c r="AF31" s="12"/>
      <c r="AG31" s="12"/>
    </row>
    <row r="32" spans="2:33" ht="15.5">
      <c r="B32" s="13" t="s">
        <v>23</v>
      </c>
      <c r="C32" s="43">
        <v>1</v>
      </c>
      <c r="D32" s="43">
        <v>0</v>
      </c>
      <c r="E32" s="43"/>
      <c r="F32" s="37">
        <f t="shared" si="0"/>
        <v>1</v>
      </c>
      <c r="G32" s="46"/>
      <c r="H32" s="46"/>
      <c r="I32" s="46"/>
      <c r="J32" s="46"/>
      <c r="K32" s="46"/>
      <c r="L32" s="46"/>
      <c r="M32" s="46"/>
      <c r="N32" s="46"/>
      <c r="O32" s="46"/>
      <c r="P32" s="45">
        <f t="shared" si="1"/>
        <v>0</v>
      </c>
      <c r="Q32" s="35">
        <f t="shared" si="35"/>
        <v>1</v>
      </c>
      <c r="R32" s="12"/>
      <c r="S32" s="12"/>
      <c r="T32" s="12"/>
      <c r="U32" s="12"/>
      <c r="V32" s="34"/>
      <c r="W32" s="12">
        <f>Q32-SUM(R32:V32)</f>
        <v>1</v>
      </c>
      <c r="X32" s="12">
        <f t="shared" si="36"/>
        <v>1</v>
      </c>
      <c r="Y32" s="12"/>
      <c r="Z32" s="12"/>
      <c r="AA32" s="12"/>
      <c r="AB32" s="12">
        <f>((X32*375000)+(Y32*375000)+(Z32*250000)+(AA32*125000))</f>
        <v>375000</v>
      </c>
      <c r="AC32" s="12">
        <f>W32*33000</f>
        <v>33000</v>
      </c>
      <c r="AD32" s="12">
        <f>W32*5000</f>
        <v>5000</v>
      </c>
      <c r="AE32" s="12"/>
      <c r="AF32" s="12"/>
      <c r="AG32" s="12">
        <f>SUM(AB32:AD32)</f>
        <v>413000</v>
      </c>
    </row>
    <row r="33" spans="2:33" ht="15.5">
      <c r="B33" s="13" t="s">
        <v>24</v>
      </c>
      <c r="C33" s="43">
        <v>0</v>
      </c>
      <c r="D33" s="43">
        <v>0</v>
      </c>
      <c r="E33" s="43"/>
      <c r="F33" s="37">
        <f t="shared" si="0"/>
        <v>0</v>
      </c>
      <c r="G33" s="46"/>
      <c r="H33" s="46"/>
      <c r="I33" s="46"/>
      <c r="J33" s="46"/>
      <c r="K33" s="46"/>
      <c r="L33" s="46"/>
      <c r="M33" s="46"/>
      <c r="N33" s="46"/>
      <c r="O33" s="46"/>
      <c r="P33" s="45">
        <f t="shared" si="1"/>
        <v>0</v>
      </c>
      <c r="Q33" s="35">
        <f t="shared" si="35"/>
        <v>0</v>
      </c>
      <c r="R33" s="12"/>
      <c r="S33" s="12"/>
      <c r="T33" s="12"/>
      <c r="U33" s="12"/>
      <c r="V33" s="34"/>
      <c r="W33" s="12">
        <f t="shared" ref="W33:W37" si="37">Q33-SUM(R33:V33)</f>
        <v>0</v>
      </c>
      <c r="X33" s="12">
        <f t="shared" si="36"/>
        <v>0</v>
      </c>
      <c r="Y33" s="12"/>
      <c r="Z33" s="12"/>
      <c r="AA33" s="12"/>
      <c r="AB33" s="12">
        <f t="shared" ref="AB33:AB37" si="38">((X33*375000)+(Y33*375000)+(Z33*250000)+(AA33*125000))</f>
        <v>0</v>
      </c>
      <c r="AC33" s="12">
        <f t="shared" ref="AC33:AC37" si="39">W33*33000</f>
        <v>0</v>
      </c>
      <c r="AD33" s="12"/>
      <c r="AE33" s="12"/>
      <c r="AF33" s="12"/>
      <c r="AG33" s="12">
        <f t="shared" ref="AG33:AG37" si="40">SUM(AB33:AD33)</f>
        <v>0</v>
      </c>
    </row>
    <row r="34" spans="2:33" ht="15.5">
      <c r="B34" s="13" t="s">
        <v>25</v>
      </c>
      <c r="C34" s="43">
        <v>0</v>
      </c>
      <c r="D34" s="43">
        <v>0</v>
      </c>
      <c r="E34" s="43"/>
      <c r="F34" s="37">
        <f t="shared" si="0"/>
        <v>0</v>
      </c>
      <c r="G34" s="46"/>
      <c r="H34" s="46"/>
      <c r="I34" s="46"/>
      <c r="J34" s="46"/>
      <c r="K34" s="46"/>
      <c r="L34" s="46"/>
      <c r="M34" s="46"/>
      <c r="N34" s="46"/>
      <c r="O34" s="46"/>
      <c r="P34" s="45">
        <f t="shared" si="1"/>
        <v>0</v>
      </c>
      <c r="Q34" s="35">
        <f t="shared" si="35"/>
        <v>0</v>
      </c>
      <c r="R34" s="12"/>
      <c r="S34" s="12"/>
      <c r="T34" s="12"/>
      <c r="U34" s="12"/>
      <c r="V34" s="34"/>
      <c r="W34" s="12">
        <f t="shared" si="37"/>
        <v>0</v>
      </c>
      <c r="X34" s="12">
        <f t="shared" si="36"/>
        <v>0</v>
      </c>
      <c r="Y34" s="12"/>
      <c r="Z34" s="12"/>
      <c r="AA34" s="12"/>
      <c r="AB34" s="12">
        <f t="shared" si="38"/>
        <v>0</v>
      </c>
      <c r="AC34" s="12">
        <f t="shared" si="39"/>
        <v>0</v>
      </c>
      <c r="AD34" s="12"/>
      <c r="AE34" s="12"/>
      <c r="AF34" s="12"/>
      <c r="AG34" s="12">
        <f t="shared" si="40"/>
        <v>0</v>
      </c>
    </row>
    <row r="35" spans="2:33" ht="15.5">
      <c r="B35" s="13" t="s">
        <v>26</v>
      </c>
      <c r="C35" s="43">
        <v>0</v>
      </c>
      <c r="D35" s="43">
        <v>0</v>
      </c>
      <c r="E35" s="43"/>
      <c r="F35" s="37">
        <f t="shared" si="0"/>
        <v>0</v>
      </c>
      <c r="G35" s="46"/>
      <c r="H35" s="46"/>
      <c r="I35" s="46"/>
      <c r="J35" s="46"/>
      <c r="K35" s="46"/>
      <c r="L35" s="46"/>
      <c r="M35" s="46"/>
      <c r="N35" s="46"/>
      <c r="O35" s="46"/>
      <c r="P35" s="45">
        <f t="shared" si="1"/>
        <v>0</v>
      </c>
      <c r="Q35" s="35">
        <f t="shared" si="35"/>
        <v>0</v>
      </c>
      <c r="R35" s="12"/>
      <c r="S35" s="12"/>
      <c r="T35" s="12"/>
      <c r="U35" s="12"/>
      <c r="V35" s="34"/>
      <c r="W35" s="12">
        <f t="shared" si="37"/>
        <v>0</v>
      </c>
      <c r="X35" s="12">
        <f t="shared" si="36"/>
        <v>0</v>
      </c>
      <c r="Y35" s="12"/>
      <c r="Z35" s="12"/>
      <c r="AA35" s="12"/>
      <c r="AB35" s="12">
        <f t="shared" si="38"/>
        <v>0</v>
      </c>
      <c r="AC35" s="12">
        <f t="shared" si="39"/>
        <v>0</v>
      </c>
      <c r="AD35" s="12"/>
      <c r="AE35" s="12">
        <f>W35*30000</f>
        <v>0</v>
      </c>
      <c r="AF35" s="12">
        <f>W35*150000</f>
        <v>0</v>
      </c>
      <c r="AG35" s="12">
        <f t="shared" si="40"/>
        <v>0</v>
      </c>
    </row>
    <row r="36" spans="2:33" ht="15.5">
      <c r="B36" s="13" t="s">
        <v>22</v>
      </c>
      <c r="C36" s="43">
        <v>0</v>
      </c>
      <c r="D36" s="43">
        <v>0</v>
      </c>
      <c r="E36" s="43"/>
      <c r="F36" s="37">
        <f t="shared" si="0"/>
        <v>0</v>
      </c>
      <c r="G36" s="46"/>
      <c r="H36" s="46"/>
      <c r="I36" s="46"/>
      <c r="J36" s="46"/>
      <c r="K36" s="46"/>
      <c r="L36" s="46"/>
      <c r="M36" s="46"/>
      <c r="N36" s="46"/>
      <c r="O36" s="46"/>
      <c r="P36" s="45">
        <f t="shared" si="1"/>
        <v>0</v>
      </c>
      <c r="Q36" s="35">
        <f t="shared" si="35"/>
        <v>0</v>
      </c>
      <c r="R36" s="12"/>
      <c r="S36" s="12"/>
      <c r="T36" s="12"/>
      <c r="U36" s="12"/>
      <c r="V36" s="34"/>
      <c r="W36" s="12">
        <f t="shared" si="37"/>
        <v>0</v>
      </c>
      <c r="X36" s="12">
        <f t="shared" si="36"/>
        <v>0</v>
      </c>
      <c r="Y36" s="12"/>
      <c r="Z36" s="12"/>
      <c r="AA36" s="12"/>
      <c r="AB36" s="12">
        <f t="shared" si="38"/>
        <v>0</v>
      </c>
      <c r="AC36" s="12">
        <f t="shared" si="39"/>
        <v>0</v>
      </c>
      <c r="AD36" s="12"/>
      <c r="AE36" s="12"/>
      <c r="AF36" s="12"/>
      <c r="AG36" s="12">
        <f t="shared" si="40"/>
        <v>0</v>
      </c>
    </row>
    <row r="37" spans="2:33" ht="15.5">
      <c r="B37" s="13" t="s">
        <v>45</v>
      </c>
      <c r="C37" s="43">
        <v>0</v>
      </c>
      <c r="D37" s="43">
        <v>0</v>
      </c>
      <c r="E37" s="43"/>
      <c r="F37" s="37">
        <f t="shared" si="0"/>
        <v>0</v>
      </c>
      <c r="G37" s="46"/>
      <c r="H37" s="46"/>
      <c r="I37" s="46"/>
      <c r="J37" s="46"/>
      <c r="K37" s="46"/>
      <c r="L37" s="46"/>
      <c r="M37" s="46"/>
      <c r="N37" s="46"/>
      <c r="O37" s="46"/>
      <c r="P37" s="45">
        <f t="shared" si="1"/>
        <v>0</v>
      </c>
      <c r="Q37" s="35">
        <f t="shared" si="35"/>
        <v>0</v>
      </c>
      <c r="R37" s="12"/>
      <c r="S37" s="12"/>
      <c r="T37" s="12"/>
      <c r="U37" s="12"/>
      <c r="V37" s="34"/>
      <c r="W37" s="12">
        <f t="shared" si="37"/>
        <v>0</v>
      </c>
      <c r="X37" s="12">
        <f t="shared" si="36"/>
        <v>0</v>
      </c>
      <c r="Y37" s="12"/>
      <c r="Z37" s="12"/>
      <c r="AA37" s="12"/>
      <c r="AB37" s="12">
        <f t="shared" si="38"/>
        <v>0</v>
      </c>
      <c r="AC37" s="12">
        <f t="shared" si="39"/>
        <v>0</v>
      </c>
      <c r="AD37" s="12"/>
      <c r="AE37" s="12"/>
      <c r="AF37" s="12"/>
      <c r="AG37" s="12">
        <f t="shared" si="40"/>
        <v>0</v>
      </c>
    </row>
    <row r="38" spans="2:33" ht="15.5">
      <c r="B38" s="55" t="s">
        <v>46</v>
      </c>
      <c r="C38" s="56"/>
      <c r="D38" s="57"/>
      <c r="E38" s="57"/>
      <c r="F38" s="55">
        <f>SUM(F32:F37)</f>
        <v>1</v>
      </c>
      <c r="G38" s="55">
        <f t="shared" ref="G38:AG38" si="41">SUM(G32:G37)</f>
        <v>0</v>
      </c>
      <c r="H38" s="55">
        <f t="shared" si="41"/>
        <v>0</v>
      </c>
      <c r="I38" s="55">
        <f t="shared" si="41"/>
        <v>0</v>
      </c>
      <c r="J38" s="55">
        <f t="shared" si="41"/>
        <v>0</v>
      </c>
      <c r="K38" s="55">
        <f t="shared" si="41"/>
        <v>0</v>
      </c>
      <c r="L38" s="55">
        <f t="shared" si="41"/>
        <v>0</v>
      </c>
      <c r="M38" s="55">
        <f t="shared" si="41"/>
        <v>0</v>
      </c>
      <c r="N38" s="55">
        <f t="shared" si="41"/>
        <v>0</v>
      </c>
      <c r="O38" s="55">
        <f t="shared" si="41"/>
        <v>0</v>
      </c>
      <c r="P38" s="55">
        <f>SUM(P32:P37)</f>
        <v>0</v>
      </c>
      <c r="Q38" s="55">
        <f t="shared" si="41"/>
        <v>1</v>
      </c>
      <c r="R38" s="55">
        <f t="shared" si="41"/>
        <v>0</v>
      </c>
      <c r="S38" s="55">
        <f t="shared" ref="S38" si="42">SUM(S32:S37)</f>
        <v>0</v>
      </c>
      <c r="T38" s="55">
        <f t="shared" ref="T38" si="43">SUM(T32:T37)</f>
        <v>0</v>
      </c>
      <c r="U38" s="55">
        <f t="shared" ref="U38" si="44">SUM(U32:U37)</f>
        <v>0</v>
      </c>
      <c r="V38" s="55">
        <f t="shared" ref="V38" si="45">SUM(V32:V37)</f>
        <v>0</v>
      </c>
      <c r="W38" s="55">
        <f t="shared" ref="W38:AA38" si="46">SUM(W32:W37)</f>
        <v>1</v>
      </c>
      <c r="X38" s="55">
        <f t="shared" si="46"/>
        <v>1</v>
      </c>
      <c r="Y38" s="55">
        <f t="shared" si="46"/>
        <v>0</v>
      </c>
      <c r="Z38" s="55">
        <f t="shared" si="46"/>
        <v>0</v>
      </c>
      <c r="AA38" s="55">
        <f t="shared" si="46"/>
        <v>0</v>
      </c>
      <c r="AB38" s="55">
        <f t="shared" ref="AB38" si="47">SUM(AB32:AB37)</f>
        <v>375000</v>
      </c>
      <c r="AC38" s="55">
        <f t="shared" ref="AC38" si="48">SUM(AC32:AC37)</f>
        <v>33000</v>
      </c>
      <c r="AD38" s="55">
        <f t="shared" si="41"/>
        <v>5000</v>
      </c>
      <c r="AE38" s="55">
        <f t="shared" si="41"/>
        <v>0</v>
      </c>
      <c r="AF38" s="55">
        <f t="shared" si="41"/>
        <v>0</v>
      </c>
      <c r="AG38" s="55">
        <f t="shared" si="41"/>
        <v>413000</v>
      </c>
    </row>
    <row r="39" spans="2:33">
      <c r="B39" s="31" t="s">
        <v>62</v>
      </c>
      <c r="C39" s="39"/>
      <c r="D39" s="40"/>
      <c r="E39" s="40"/>
      <c r="F39" s="37"/>
      <c r="G39" s="46"/>
      <c r="H39" s="46"/>
      <c r="I39" s="46"/>
      <c r="J39" s="46"/>
      <c r="K39" s="46"/>
      <c r="L39" s="46"/>
      <c r="M39" s="46"/>
      <c r="N39" s="46"/>
      <c r="O39" s="46"/>
      <c r="P39" s="45"/>
      <c r="Q39" s="35"/>
      <c r="R39" s="12"/>
      <c r="S39" s="12"/>
      <c r="T39" s="12"/>
      <c r="U39" s="12"/>
      <c r="V39" s="33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2:33" ht="15.5">
      <c r="B40" s="13" t="s">
        <v>23</v>
      </c>
      <c r="C40" s="43">
        <v>94</v>
      </c>
      <c r="D40" s="43">
        <v>53</v>
      </c>
      <c r="E40" s="43">
        <v>86</v>
      </c>
      <c r="F40" s="37">
        <f t="shared" si="0"/>
        <v>233</v>
      </c>
      <c r="G40" s="46">
        <v>10</v>
      </c>
      <c r="H40" s="46">
        <v>20</v>
      </c>
      <c r="I40" s="46">
        <v>20</v>
      </c>
      <c r="J40" s="46">
        <v>10</v>
      </c>
      <c r="K40" s="46"/>
      <c r="L40" s="46"/>
      <c r="M40" s="46">
        <v>10</v>
      </c>
      <c r="N40" s="46">
        <v>20</v>
      </c>
      <c r="O40" s="46">
        <v>20</v>
      </c>
      <c r="P40" s="45">
        <f t="shared" si="1"/>
        <v>110</v>
      </c>
      <c r="Q40" s="35">
        <f t="shared" ref="Q40:Q45" si="49">F40+P40</f>
        <v>343</v>
      </c>
      <c r="R40" s="12"/>
      <c r="S40" s="12"/>
      <c r="T40" s="12">
        <v>25</v>
      </c>
      <c r="U40" s="12"/>
      <c r="V40" s="34"/>
      <c r="W40" s="12">
        <f>Q40-SUM(R40:V40)</f>
        <v>318</v>
      </c>
      <c r="X40" s="12">
        <f>F40-R40-T40</f>
        <v>208</v>
      </c>
      <c r="Y40" s="12">
        <v>90</v>
      </c>
      <c r="Z40" s="12">
        <v>70</v>
      </c>
      <c r="AA40" s="12">
        <v>90</v>
      </c>
      <c r="AB40" s="12">
        <f>(((E40*330000)+(I40*330000)+(L40*220000)+(O40*110000))+((C40-T40)*500000)+(D40*375000)+(G40*500000)+(H40*375000)+((J40-U40)*375000)+(K40*250000)+(M40*250000)+(N40*125000))</f>
        <v>112805000</v>
      </c>
      <c r="AC40" s="12">
        <f>W40*33000</f>
        <v>10494000</v>
      </c>
      <c r="AD40" s="12">
        <f>W40*5000</f>
        <v>1590000</v>
      </c>
      <c r="AE40" s="12"/>
      <c r="AF40" s="12"/>
      <c r="AG40" s="12">
        <f t="shared" ref="AG40:AG45" si="50">SUM(AB40:AD40)</f>
        <v>124889000</v>
      </c>
    </row>
    <row r="41" spans="2:33" ht="15.5">
      <c r="B41" s="13" t="s">
        <v>24</v>
      </c>
      <c r="C41" s="43">
        <v>75</v>
      </c>
      <c r="D41" s="43">
        <v>39</v>
      </c>
      <c r="E41" s="43">
        <v>65</v>
      </c>
      <c r="F41" s="37">
        <f t="shared" si="0"/>
        <v>179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5">
        <f t="shared" si="1"/>
        <v>0</v>
      </c>
      <c r="Q41" s="35">
        <f t="shared" si="49"/>
        <v>179</v>
      </c>
      <c r="R41" s="12"/>
      <c r="S41" s="12"/>
      <c r="T41" s="12"/>
      <c r="U41" s="12"/>
      <c r="V41" s="34"/>
      <c r="W41" s="12">
        <f t="shared" ref="W41:W45" si="51">Q41-SUM(R41:V41)</f>
        <v>179</v>
      </c>
      <c r="X41" s="12">
        <f t="shared" ref="X41:X45" si="52">F41-R41-T41</f>
        <v>179</v>
      </c>
      <c r="Y41" s="12">
        <f>W41-X41</f>
        <v>0</v>
      </c>
      <c r="Z41" s="12"/>
      <c r="AA41" s="12"/>
      <c r="AB41" s="12">
        <f t="shared" ref="AB41:AB44" si="53">(((E41*330000)+(I41*330000)+(L41*220000)+(O41*110000))+((C41-T41)*500000)+(D41*375000)+(G41*500000)+(H41*375000)+((J41-U41)*375000)+(K41*250000)+(M41*250000)+(N41*125000))</f>
        <v>73575000</v>
      </c>
      <c r="AC41" s="12">
        <f t="shared" ref="AC41:AC45" si="54">W41*33000</f>
        <v>5907000</v>
      </c>
      <c r="AD41" s="12"/>
      <c r="AE41" s="12"/>
      <c r="AF41" s="12"/>
      <c r="AG41" s="12">
        <f t="shared" si="50"/>
        <v>79482000</v>
      </c>
    </row>
    <row r="42" spans="2:33" ht="15.5">
      <c r="B42" s="13" t="s">
        <v>25</v>
      </c>
      <c r="C42" s="43">
        <v>39</v>
      </c>
      <c r="D42" s="43">
        <v>12</v>
      </c>
      <c r="E42" s="43">
        <v>21</v>
      </c>
      <c r="F42" s="37">
        <f t="shared" si="0"/>
        <v>72</v>
      </c>
      <c r="G42" s="46">
        <v>0</v>
      </c>
      <c r="H42" s="46">
        <v>10</v>
      </c>
      <c r="I42" s="46">
        <v>20</v>
      </c>
      <c r="J42" s="46">
        <v>0</v>
      </c>
      <c r="K42" s="46">
        <v>10</v>
      </c>
      <c r="L42" s="46">
        <v>20</v>
      </c>
      <c r="M42" s="46">
        <v>0</v>
      </c>
      <c r="N42" s="46"/>
      <c r="O42" s="46">
        <v>20</v>
      </c>
      <c r="P42" s="45">
        <f t="shared" si="1"/>
        <v>80</v>
      </c>
      <c r="Q42" s="35">
        <f t="shared" si="49"/>
        <v>152</v>
      </c>
      <c r="R42" s="12"/>
      <c r="S42" s="12"/>
      <c r="T42" s="12"/>
      <c r="U42" s="12"/>
      <c r="V42" s="34"/>
      <c r="W42" s="12">
        <f t="shared" si="51"/>
        <v>152</v>
      </c>
      <c r="X42" s="12">
        <f t="shared" si="52"/>
        <v>72</v>
      </c>
      <c r="Y42" s="12">
        <v>30</v>
      </c>
      <c r="Z42" s="12">
        <v>30</v>
      </c>
      <c r="AA42" s="12">
        <v>30</v>
      </c>
      <c r="AB42" s="12">
        <f t="shared" si="53"/>
        <v>50380000</v>
      </c>
      <c r="AC42" s="12">
        <f t="shared" si="54"/>
        <v>5016000</v>
      </c>
      <c r="AD42" s="12">
        <f>(Y42+Z42+AA42)*5000</f>
        <v>450000</v>
      </c>
      <c r="AE42" s="12"/>
      <c r="AF42" s="12"/>
      <c r="AG42" s="12">
        <f t="shared" si="50"/>
        <v>55846000</v>
      </c>
    </row>
    <row r="43" spans="2:33" ht="15.5">
      <c r="B43" s="13" t="s">
        <v>26</v>
      </c>
      <c r="C43" s="43"/>
      <c r="D43" s="43">
        <v>16</v>
      </c>
      <c r="E43" s="43">
        <v>12</v>
      </c>
      <c r="F43" s="37">
        <f t="shared" si="0"/>
        <v>28</v>
      </c>
      <c r="G43" s="46">
        <v>0</v>
      </c>
      <c r="H43" s="46">
        <v>0</v>
      </c>
      <c r="I43" s="46">
        <v>0</v>
      </c>
      <c r="J43" s="46">
        <v>0</v>
      </c>
      <c r="K43" s="46">
        <v>0</v>
      </c>
      <c r="L43" s="46">
        <v>0</v>
      </c>
      <c r="M43" s="46">
        <v>0</v>
      </c>
      <c r="N43" s="46">
        <v>0</v>
      </c>
      <c r="O43" s="46">
        <v>0</v>
      </c>
      <c r="P43" s="45">
        <f t="shared" si="1"/>
        <v>0</v>
      </c>
      <c r="Q43" s="35">
        <f t="shared" si="49"/>
        <v>28</v>
      </c>
      <c r="R43" s="12"/>
      <c r="S43" s="12"/>
      <c r="T43" s="12"/>
      <c r="U43" s="12"/>
      <c r="V43" s="34"/>
      <c r="W43" s="12">
        <f t="shared" si="51"/>
        <v>28</v>
      </c>
      <c r="X43" s="12">
        <f t="shared" si="52"/>
        <v>28</v>
      </c>
      <c r="Y43" s="12"/>
      <c r="Z43" s="12"/>
      <c r="AA43" s="12"/>
      <c r="AB43" s="12">
        <f t="shared" si="53"/>
        <v>9960000</v>
      </c>
      <c r="AC43" s="12">
        <f t="shared" si="54"/>
        <v>924000</v>
      </c>
      <c r="AD43" s="12"/>
      <c r="AE43" s="12">
        <f>W43*30000</f>
        <v>840000</v>
      </c>
      <c r="AF43" s="12"/>
      <c r="AG43" s="12">
        <f t="shared" si="50"/>
        <v>10884000</v>
      </c>
    </row>
    <row r="44" spans="2:33" s="1" customFormat="1" ht="15.5">
      <c r="B44" s="13" t="s">
        <v>22</v>
      </c>
      <c r="C44" s="158"/>
      <c r="D44" s="158"/>
      <c r="E44" s="158"/>
      <c r="F44" s="37">
        <f>SUM(C44:E44)</f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f t="shared" si="1"/>
        <v>0</v>
      </c>
      <c r="Q44" s="13">
        <f t="shared" si="49"/>
        <v>0</v>
      </c>
      <c r="R44" s="13"/>
      <c r="S44" s="13"/>
      <c r="T44" s="13"/>
      <c r="U44" s="13"/>
      <c r="V44" s="159"/>
      <c r="W44" s="13">
        <f t="shared" si="51"/>
        <v>0</v>
      </c>
      <c r="X44" s="13">
        <f t="shared" si="52"/>
        <v>0</v>
      </c>
      <c r="Y44" s="13"/>
      <c r="Z44" s="13"/>
      <c r="AA44" s="13"/>
      <c r="AB44" s="13">
        <f t="shared" si="53"/>
        <v>0</v>
      </c>
      <c r="AC44" s="13">
        <f t="shared" si="54"/>
        <v>0</v>
      </c>
      <c r="AD44" s="13"/>
      <c r="AE44" s="13"/>
      <c r="AF44" s="13">
        <f>W44*150000</f>
        <v>0</v>
      </c>
      <c r="AG44" s="12">
        <f t="shared" si="50"/>
        <v>0</v>
      </c>
    </row>
    <row r="45" spans="2:33" ht="15.5">
      <c r="B45" s="13" t="s">
        <v>45</v>
      </c>
      <c r="C45" s="43"/>
      <c r="D45" s="43"/>
      <c r="E45" s="43"/>
      <c r="F45" s="37">
        <f t="shared" si="0"/>
        <v>0</v>
      </c>
      <c r="G45" s="46">
        <v>0</v>
      </c>
      <c r="H45" s="46">
        <v>0</v>
      </c>
      <c r="I45" s="46">
        <v>0</v>
      </c>
      <c r="J45" s="46">
        <v>0</v>
      </c>
      <c r="K45" s="46">
        <v>0</v>
      </c>
      <c r="L45" s="46">
        <v>0</v>
      </c>
      <c r="M45" s="46">
        <v>0</v>
      </c>
      <c r="N45" s="46">
        <v>0</v>
      </c>
      <c r="O45" s="46">
        <v>0</v>
      </c>
      <c r="P45" s="45">
        <f t="shared" si="1"/>
        <v>0</v>
      </c>
      <c r="Q45" s="35">
        <f t="shared" si="49"/>
        <v>0</v>
      </c>
      <c r="R45" s="12"/>
      <c r="S45" s="12"/>
      <c r="T45" s="12"/>
      <c r="U45" s="12"/>
      <c r="V45" s="34"/>
      <c r="W45" s="12">
        <f t="shared" si="51"/>
        <v>0</v>
      </c>
      <c r="X45" s="12">
        <f t="shared" si="52"/>
        <v>0</v>
      </c>
      <c r="Y45" s="12"/>
      <c r="Z45" s="12"/>
      <c r="AA45" s="12"/>
      <c r="AB45" s="12">
        <f>(((E45*330000)+(I45*330000)+(L45*220000)+(O45*110000))+((C45-T45)*500000)+(D45*375000)+(G45*500000)+(H45*375000)+((J45-U45)*375000)+(K45*250000)+(M45*250000)+(N45*125000))</f>
        <v>0</v>
      </c>
      <c r="AC45" s="12">
        <f t="shared" si="54"/>
        <v>0</v>
      </c>
      <c r="AD45" s="12"/>
      <c r="AE45" s="12"/>
      <c r="AF45" s="12"/>
      <c r="AG45" s="12">
        <f t="shared" si="50"/>
        <v>0</v>
      </c>
    </row>
    <row r="46" spans="2:33" ht="15.5">
      <c r="B46" s="55" t="s">
        <v>46</v>
      </c>
      <c r="C46" s="57">
        <v>136</v>
      </c>
      <c r="D46" s="57">
        <v>120</v>
      </c>
      <c r="E46" s="57"/>
      <c r="F46" s="55">
        <f>SUM(F40:F45)</f>
        <v>512</v>
      </c>
      <c r="G46" s="55">
        <f t="shared" ref="G46:AG46" si="55">SUM(G40:G45)</f>
        <v>10</v>
      </c>
      <c r="H46" s="55">
        <f t="shared" si="55"/>
        <v>30</v>
      </c>
      <c r="I46" s="55">
        <f t="shared" si="55"/>
        <v>40</v>
      </c>
      <c r="J46" s="55">
        <f t="shared" si="55"/>
        <v>10</v>
      </c>
      <c r="K46" s="55">
        <f t="shared" si="55"/>
        <v>10</v>
      </c>
      <c r="L46" s="55">
        <f t="shared" si="55"/>
        <v>20</v>
      </c>
      <c r="M46" s="55">
        <f t="shared" si="55"/>
        <v>10</v>
      </c>
      <c r="N46" s="55">
        <f t="shared" si="55"/>
        <v>20</v>
      </c>
      <c r="O46" s="55">
        <f t="shared" si="55"/>
        <v>40</v>
      </c>
      <c r="P46" s="55">
        <f>SUM(P40:P45)</f>
        <v>190</v>
      </c>
      <c r="Q46" s="55">
        <f t="shared" si="55"/>
        <v>702</v>
      </c>
      <c r="R46" s="55">
        <f t="shared" si="55"/>
        <v>0</v>
      </c>
      <c r="S46" s="55">
        <f t="shared" ref="S46" si="56">SUM(S40:S45)</f>
        <v>0</v>
      </c>
      <c r="T46" s="55">
        <f t="shared" ref="T46" si="57">SUM(T40:T45)</f>
        <v>25</v>
      </c>
      <c r="U46" s="55">
        <f t="shared" ref="U46" si="58">SUM(U40:U45)</f>
        <v>0</v>
      </c>
      <c r="V46" s="55">
        <f t="shared" ref="V46" si="59">SUM(V40:V45)</f>
        <v>0</v>
      </c>
      <c r="W46" s="55">
        <f t="shared" ref="W46" si="60">SUM(W40:W45)</f>
        <v>677</v>
      </c>
      <c r="X46" s="55">
        <f>SUM(X40:X45)</f>
        <v>487</v>
      </c>
      <c r="Y46" s="55">
        <f>SUM(Y40:Y45)</f>
        <v>120</v>
      </c>
      <c r="Z46" s="55">
        <f>SUM(Z40:Z45)</f>
        <v>100</v>
      </c>
      <c r="AA46" s="55">
        <f>SUM(AA40:AA45)</f>
        <v>120</v>
      </c>
      <c r="AB46" s="55">
        <f t="shared" ref="AB46" si="61">SUM(AB40:AB45)</f>
        <v>246720000</v>
      </c>
      <c r="AC46" s="55">
        <f t="shared" si="55"/>
        <v>22341000</v>
      </c>
      <c r="AD46" s="55">
        <f t="shared" si="55"/>
        <v>2040000</v>
      </c>
      <c r="AE46" s="55">
        <f t="shared" si="55"/>
        <v>840000</v>
      </c>
      <c r="AF46" s="55">
        <f t="shared" si="55"/>
        <v>0</v>
      </c>
      <c r="AG46" s="55">
        <f t="shared" si="55"/>
        <v>271101000</v>
      </c>
    </row>
    <row r="47" spans="2:33">
      <c r="B47" s="31" t="s">
        <v>63</v>
      </c>
      <c r="C47" s="39"/>
      <c r="D47" s="40"/>
      <c r="E47" s="40"/>
      <c r="F47" s="37"/>
      <c r="G47" s="46"/>
      <c r="H47" s="46"/>
      <c r="I47" s="46"/>
      <c r="J47" s="46"/>
      <c r="K47" s="46"/>
      <c r="L47" s="46"/>
      <c r="M47" s="46"/>
      <c r="N47" s="46"/>
      <c r="O47" s="46"/>
      <c r="P47" s="45"/>
      <c r="Q47" s="35"/>
      <c r="R47" s="12"/>
      <c r="S47" s="12"/>
      <c r="T47" s="12"/>
      <c r="U47" s="12"/>
      <c r="V47" s="33"/>
      <c r="W47" s="12"/>
      <c r="X47" s="12">
        <f t="shared" ref="X47:X53" si="62">F47-R47-T47</f>
        <v>0</v>
      </c>
      <c r="Y47" s="12"/>
      <c r="Z47" s="12"/>
      <c r="AA47" s="12"/>
      <c r="AB47" s="12"/>
      <c r="AC47" s="12"/>
      <c r="AD47" s="12"/>
      <c r="AE47" s="12"/>
      <c r="AF47" s="12"/>
      <c r="AG47" s="12"/>
    </row>
    <row r="48" spans="2:33" ht="15.5">
      <c r="B48" s="13" t="s">
        <v>23</v>
      </c>
      <c r="C48" s="43">
        <v>189</v>
      </c>
      <c r="D48" s="43">
        <v>62</v>
      </c>
      <c r="E48" s="43">
        <v>211</v>
      </c>
      <c r="F48" s="37">
        <f>SUM(C48:E48)</f>
        <v>462</v>
      </c>
      <c r="G48" s="46"/>
      <c r="H48" s="46">
        <v>20</v>
      </c>
      <c r="I48" s="46">
        <v>40</v>
      </c>
      <c r="J48" s="46"/>
      <c r="K48" s="46">
        <v>10</v>
      </c>
      <c r="L48" s="46"/>
      <c r="M48" s="46"/>
      <c r="N48" s="46">
        <v>20</v>
      </c>
      <c r="O48" s="46">
        <v>40</v>
      </c>
      <c r="P48" s="45">
        <f t="shared" si="1"/>
        <v>130</v>
      </c>
      <c r="Q48" s="35">
        <f t="shared" ref="Q48:Q53" si="63">F48+P48</f>
        <v>592</v>
      </c>
      <c r="R48" s="12"/>
      <c r="S48" s="12"/>
      <c r="T48" s="12"/>
      <c r="U48" s="12"/>
      <c r="V48" s="34"/>
      <c r="W48" s="12">
        <f t="shared" ref="W48:W53" si="64">Q48-SUM(R48:V48)</f>
        <v>592</v>
      </c>
      <c r="X48" s="12">
        <f t="shared" si="62"/>
        <v>462</v>
      </c>
      <c r="Y48" s="12">
        <v>60</v>
      </c>
      <c r="Z48" s="12">
        <v>60</v>
      </c>
      <c r="AA48" s="12">
        <v>60</v>
      </c>
      <c r="AB48" s="12">
        <f>(((E48*330000)+(I48*330000)+(L48*220000)+(O48*110000))+((C48-T48)*500000)+(D48*375000)+(G48*500000)+(H48*375000)+((J48-U48)*375000)+(K48*250000)+(M48*250000)+(N48*125000))</f>
        <v>217480000</v>
      </c>
      <c r="AC48" s="12">
        <f>W48*33000</f>
        <v>19536000</v>
      </c>
      <c r="AD48" s="12">
        <f>W48*5000</f>
        <v>2960000</v>
      </c>
      <c r="AE48" s="12"/>
      <c r="AF48" s="12"/>
      <c r="AG48" s="12">
        <f t="shared" ref="AG48:AG52" si="65">SUM(AB48:AD48)</f>
        <v>239976000</v>
      </c>
    </row>
    <row r="49" spans="2:33" ht="15.5">
      <c r="B49" s="13" t="s">
        <v>24</v>
      </c>
      <c r="C49" s="43">
        <v>139</v>
      </c>
      <c r="D49" s="43">
        <v>32</v>
      </c>
      <c r="E49" s="43">
        <v>128</v>
      </c>
      <c r="F49" s="37">
        <f t="shared" ref="F49:F51" si="66">SUM(C49:E49)</f>
        <v>299</v>
      </c>
      <c r="G49" s="46"/>
      <c r="H49" s="46"/>
      <c r="I49" s="46"/>
      <c r="J49" s="46"/>
      <c r="K49" s="46"/>
      <c r="L49" s="46"/>
      <c r="M49" s="46"/>
      <c r="N49" s="46"/>
      <c r="O49" s="46"/>
      <c r="P49" s="45">
        <f t="shared" si="1"/>
        <v>0</v>
      </c>
      <c r="Q49" s="35">
        <f t="shared" si="63"/>
        <v>299</v>
      </c>
      <c r="R49" s="12"/>
      <c r="S49" s="12"/>
      <c r="T49" s="12">
        <v>112</v>
      </c>
      <c r="U49" s="12"/>
      <c r="V49" s="34"/>
      <c r="W49" s="12">
        <f t="shared" si="64"/>
        <v>187</v>
      </c>
      <c r="X49" s="12">
        <f t="shared" si="62"/>
        <v>187</v>
      </c>
      <c r="Y49" s="12"/>
      <c r="Z49" s="12"/>
      <c r="AA49" s="12"/>
      <c r="AB49" s="12">
        <f t="shared" ref="AB49:AB53" si="67">(((E49*330000)+(I49*330000)+(L49*220000)+(O49*110000))+((C49-T49)*500000)+(D49*375000)+(G49*500000)+(H49*375000)+((J49-U49)*375000)+(K49*250000)+(M49*250000)+(N49*125000))</f>
        <v>67740000</v>
      </c>
      <c r="AC49" s="12">
        <f t="shared" ref="AC49:AC53" si="68">W49*33000</f>
        <v>6171000</v>
      </c>
      <c r="AD49" s="12"/>
      <c r="AE49" s="12"/>
      <c r="AF49" s="12"/>
      <c r="AG49" s="12">
        <f t="shared" si="65"/>
        <v>73911000</v>
      </c>
    </row>
    <row r="50" spans="2:33" ht="15.5">
      <c r="B50" s="13" t="s">
        <v>25</v>
      </c>
      <c r="C50" s="43">
        <v>74</v>
      </c>
      <c r="D50" s="43">
        <v>27</v>
      </c>
      <c r="E50" s="43">
        <v>36</v>
      </c>
      <c r="F50" s="37">
        <f t="shared" si="66"/>
        <v>137</v>
      </c>
      <c r="G50" s="46"/>
      <c r="H50" s="46">
        <v>10</v>
      </c>
      <c r="I50" s="46">
        <v>20</v>
      </c>
      <c r="J50" s="46"/>
      <c r="K50" s="46">
        <v>15</v>
      </c>
      <c r="L50" s="46">
        <v>20</v>
      </c>
      <c r="M50" s="46"/>
      <c r="N50" s="46">
        <v>20</v>
      </c>
      <c r="O50" s="46">
        <v>20</v>
      </c>
      <c r="P50" s="45">
        <f t="shared" si="1"/>
        <v>105</v>
      </c>
      <c r="Q50" s="35">
        <f t="shared" si="63"/>
        <v>242</v>
      </c>
      <c r="R50" s="12"/>
      <c r="S50" s="12"/>
      <c r="T50" s="12"/>
      <c r="U50" s="12"/>
      <c r="V50" s="34"/>
      <c r="W50" s="12">
        <f t="shared" si="64"/>
        <v>242</v>
      </c>
      <c r="X50" s="12">
        <f t="shared" si="62"/>
        <v>137</v>
      </c>
      <c r="Y50" s="12">
        <v>30</v>
      </c>
      <c r="Z50" s="12">
        <v>35</v>
      </c>
      <c r="AA50" s="12">
        <v>40</v>
      </c>
      <c r="AB50" s="12">
        <f t="shared" si="67"/>
        <v>82205000</v>
      </c>
      <c r="AC50" s="12">
        <f t="shared" si="68"/>
        <v>7986000</v>
      </c>
      <c r="AD50" s="12">
        <f>(Y50+Z50+AA50)*5000</f>
        <v>525000</v>
      </c>
      <c r="AE50" s="12"/>
      <c r="AF50" s="12"/>
      <c r="AG50" s="12">
        <f t="shared" si="65"/>
        <v>90716000</v>
      </c>
    </row>
    <row r="51" spans="2:33" ht="15.5">
      <c r="B51" s="13" t="s">
        <v>26</v>
      </c>
      <c r="C51" s="43">
        <v>3</v>
      </c>
      <c r="D51" s="43">
        <v>49</v>
      </c>
      <c r="E51" s="43">
        <v>73</v>
      </c>
      <c r="F51" s="37">
        <f t="shared" si="66"/>
        <v>125</v>
      </c>
      <c r="G51" s="46"/>
      <c r="H51" s="46"/>
      <c r="I51" s="46"/>
      <c r="J51" s="46"/>
      <c r="K51" s="46"/>
      <c r="L51" s="46"/>
      <c r="M51" s="46"/>
      <c r="N51" s="46"/>
      <c r="O51" s="46"/>
      <c r="P51" s="45">
        <f t="shared" si="1"/>
        <v>0</v>
      </c>
      <c r="Q51" s="35">
        <f t="shared" si="63"/>
        <v>125</v>
      </c>
      <c r="R51" s="12"/>
      <c r="S51" s="12"/>
      <c r="T51" s="12"/>
      <c r="U51" s="12"/>
      <c r="V51" s="34"/>
      <c r="W51" s="12">
        <f t="shared" si="64"/>
        <v>125</v>
      </c>
      <c r="X51" s="12">
        <f t="shared" si="62"/>
        <v>125</v>
      </c>
      <c r="Y51" s="12"/>
      <c r="Z51" s="12"/>
      <c r="AA51" s="12"/>
      <c r="AB51" s="12">
        <f t="shared" si="67"/>
        <v>43965000</v>
      </c>
      <c r="AC51" s="12">
        <f t="shared" si="68"/>
        <v>4125000</v>
      </c>
      <c r="AD51" s="12"/>
      <c r="AE51" s="12">
        <f>W51*30000</f>
        <v>3750000</v>
      </c>
      <c r="AF51" s="12"/>
      <c r="AG51" s="12">
        <f t="shared" si="65"/>
        <v>48090000</v>
      </c>
    </row>
    <row r="52" spans="2:33" s="71" customFormat="1" ht="15.5">
      <c r="B52" s="22" t="s">
        <v>22</v>
      </c>
      <c r="C52" s="69"/>
      <c r="D52" s="69"/>
      <c r="E52" s="69"/>
      <c r="F52" s="42"/>
      <c r="G52" s="59"/>
      <c r="H52" s="59"/>
      <c r="I52" s="59"/>
      <c r="J52" s="59"/>
      <c r="K52" s="59"/>
      <c r="L52" s="59"/>
      <c r="M52" s="59"/>
      <c r="N52" s="59"/>
      <c r="O52" s="59"/>
      <c r="P52" s="59">
        <f t="shared" si="1"/>
        <v>0</v>
      </c>
      <c r="Q52" s="22">
        <f t="shared" si="63"/>
        <v>0</v>
      </c>
      <c r="R52" s="22"/>
      <c r="S52" s="22"/>
      <c r="T52" s="22"/>
      <c r="U52" s="22"/>
      <c r="V52" s="70"/>
      <c r="W52" s="22">
        <f t="shared" si="64"/>
        <v>0</v>
      </c>
      <c r="X52" s="22">
        <f t="shared" si="62"/>
        <v>0</v>
      </c>
      <c r="Y52" s="22"/>
      <c r="Z52" s="22"/>
      <c r="AA52" s="22"/>
      <c r="AB52" s="22">
        <f t="shared" si="67"/>
        <v>0</v>
      </c>
      <c r="AC52" s="22">
        <f t="shared" si="68"/>
        <v>0</v>
      </c>
      <c r="AD52" s="22"/>
      <c r="AE52" s="22"/>
      <c r="AF52" s="22">
        <f>W52*150000</f>
        <v>0</v>
      </c>
      <c r="AG52" s="12">
        <f t="shared" si="65"/>
        <v>0</v>
      </c>
    </row>
    <row r="53" spans="2:33" ht="15.5">
      <c r="B53" s="13" t="s">
        <v>45</v>
      </c>
      <c r="C53" s="43"/>
      <c r="D53" s="43"/>
      <c r="E53" s="43"/>
      <c r="F53" s="37">
        <f t="shared" si="0"/>
        <v>0</v>
      </c>
      <c r="G53" s="46"/>
      <c r="H53" s="46"/>
      <c r="I53" s="46"/>
      <c r="J53" s="46"/>
      <c r="K53" s="46"/>
      <c r="L53" s="46"/>
      <c r="M53" s="46"/>
      <c r="N53" s="46"/>
      <c r="O53" s="46"/>
      <c r="P53" s="45">
        <f t="shared" si="1"/>
        <v>0</v>
      </c>
      <c r="Q53" s="35">
        <f t="shared" si="63"/>
        <v>0</v>
      </c>
      <c r="R53" s="12"/>
      <c r="S53" s="12"/>
      <c r="T53" s="12"/>
      <c r="U53" s="12"/>
      <c r="V53" s="34"/>
      <c r="W53" s="12">
        <f t="shared" si="64"/>
        <v>0</v>
      </c>
      <c r="X53" s="12">
        <f t="shared" si="62"/>
        <v>0</v>
      </c>
      <c r="Y53" s="12"/>
      <c r="Z53" s="12"/>
      <c r="AA53" s="12"/>
      <c r="AB53" s="12">
        <f t="shared" si="67"/>
        <v>0</v>
      </c>
      <c r="AC53" s="12">
        <f t="shared" si="68"/>
        <v>0</v>
      </c>
      <c r="AD53" s="12"/>
      <c r="AE53" s="12"/>
      <c r="AF53" s="12"/>
      <c r="AG53" s="12"/>
    </row>
    <row r="54" spans="2:33" ht="15.5">
      <c r="B54" s="55" t="s">
        <v>46</v>
      </c>
      <c r="C54" s="57">
        <v>167</v>
      </c>
      <c r="D54" s="57">
        <v>186</v>
      </c>
      <c r="E54" s="57"/>
      <c r="F54" s="55">
        <f>SUM(F48:F53)</f>
        <v>1023</v>
      </c>
      <c r="G54" s="55">
        <f t="shared" ref="G54:AG54" si="69">SUM(G48:G53)</f>
        <v>0</v>
      </c>
      <c r="H54" s="55">
        <f t="shared" si="69"/>
        <v>30</v>
      </c>
      <c r="I54" s="55">
        <f t="shared" si="69"/>
        <v>60</v>
      </c>
      <c r="J54" s="55">
        <f t="shared" si="69"/>
        <v>0</v>
      </c>
      <c r="K54" s="55">
        <f t="shared" si="69"/>
        <v>25</v>
      </c>
      <c r="L54" s="55">
        <f t="shared" si="69"/>
        <v>20</v>
      </c>
      <c r="M54" s="55">
        <f t="shared" si="69"/>
        <v>0</v>
      </c>
      <c r="N54" s="55">
        <f t="shared" si="69"/>
        <v>40</v>
      </c>
      <c r="O54" s="55">
        <f t="shared" si="69"/>
        <v>60</v>
      </c>
      <c r="P54" s="55">
        <f t="shared" si="69"/>
        <v>235</v>
      </c>
      <c r="Q54" s="55">
        <f t="shared" si="69"/>
        <v>1258</v>
      </c>
      <c r="R54" s="55">
        <f t="shared" si="69"/>
        <v>0</v>
      </c>
      <c r="S54" s="55">
        <f t="shared" ref="S54" si="70">SUM(S48:S53)</f>
        <v>0</v>
      </c>
      <c r="T54" s="55">
        <f t="shared" ref="T54" si="71">SUM(T48:T53)</f>
        <v>112</v>
      </c>
      <c r="U54" s="55">
        <f t="shared" ref="U54" si="72">SUM(U48:U53)</f>
        <v>0</v>
      </c>
      <c r="V54" s="55">
        <f t="shared" ref="V54" si="73">SUM(V48:V53)</f>
        <v>0</v>
      </c>
      <c r="W54" s="55">
        <f t="shared" ref="W54:AA54" si="74">SUM(W48:W53)</f>
        <v>1146</v>
      </c>
      <c r="X54" s="55">
        <f t="shared" si="74"/>
        <v>911</v>
      </c>
      <c r="Y54" s="55">
        <f t="shared" si="74"/>
        <v>90</v>
      </c>
      <c r="Z54" s="55">
        <f t="shared" si="74"/>
        <v>95</v>
      </c>
      <c r="AA54" s="55">
        <f t="shared" si="74"/>
        <v>100</v>
      </c>
      <c r="AB54" s="55">
        <f t="shared" ref="AB54" si="75">SUM(AB48:AB53)</f>
        <v>411390000</v>
      </c>
      <c r="AC54" s="55">
        <f t="shared" si="69"/>
        <v>37818000</v>
      </c>
      <c r="AD54" s="55">
        <f t="shared" si="69"/>
        <v>3485000</v>
      </c>
      <c r="AE54" s="55">
        <f t="shared" si="69"/>
        <v>3750000</v>
      </c>
      <c r="AF54" s="55">
        <f t="shared" si="69"/>
        <v>0</v>
      </c>
      <c r="AG54" s="55">
        <f t="shared" si="69"/>
        <v>452693000</v>
      </c>
    </row>
    <row r="55" spans="2:33">
      <c r="B55" s="25" t="s">
        <v>76</v>
      </c>
      <c r="C55" s="25">
        <f t="shared" ref="C55:E55" si="76">C54+C46+C38</f>
        <v>303</v>
      </c>
      <c r="D55" s="25">
        <f t="shared" si="76"/>
        <v>306</v>
      </c>
      <c r="E55" s="25">
        <f t="shared" si="76"/>
        <v>0</v>
      </c>
      <c r="F55" s="25">
        <f>F54+F46+F38</f>
        <v>1536</v>
      </c>
      <c r="G55" s="25">
        <f t="shared" ref="G55:AG55" si="77">G54+G46+G38</f>
        <v>10</v>
      </c>
      <c r="H55" s="25">
        <f t="shared" si="77"/>
        <v>60</v>
      </c>
      <c r="I55" s="25">
        <f t="shared" si="77"/>
        <v>100</v>
      </c>
      <c r="J55" s="25">
        <f t="shared" si="77"/>
        <v>10</v>
      </c>
      <c r="K55" s="25">
        <f t="shared" si="77"/>
        <v>35</v>
      </c>
      <c r="L55" s="25">
        <f t="shared" si="77"/>
        <v>40</v>
      </c>
      <c r="M55" s="25">
        <f t="shared" si="77"/>
        <v>10</v>
      </c>
      <c r="N55" s="25">
        <f t="shared" si="77"/>
        <v>60</v>
      </c>
      <c r="O55" s="25">
        <f t="shared" si="77"/>
        <v>100</v>
      </c>
      <c r="P55" s="25">
        <f>P54+P46+P38</f>
        <v>425</v>
      </c>
      <c r="Q55" s="25">
        <f t="shared" si="77"/>
        <v>1961</v>
      </c>
      <c r="R55" s="25">
        <f t="shared" si="77"/>
        <v>0</v>
      </c>
      <c r="S55" s="25">
        <f t="shared" ref="S55" si="78">S54+S46+S38</f>
        <v>0</v>
      </c>
      <c r="T55" s="25">
        <f t="shared" ref="T55" si="79">T54+T46+T38</f>
        <v>137</v>
      </c>
      <c r="U55" s="25">
        <f t="shared" ref="U55" si="80">U54+U46+U38</f>
        <v>0</v>
      </c>
      <c r="V55" s="25">
        <f t="shared" ref="V55" si="81">V54+V46+V38</f>
        <v>0</v>
      </c>
      <c r="W55" s="25">
        <f t="shared" ref="W55:AA55" si="82">W54+W46+W38</f>
        <v>1824</v>
      </c>
      <c r="X55" s="25">
        <f t="shared" si="82"/>
        <v>1399</v>
      </c>
      <c r="Y55" s="25">
        <f t="shared" si="82"/>
        <v>210</v>
      </c>
      <c r="Z55" s="25">
        <f t="shared" si="82"/>
        <v>195</v>
      </c>
      <c r="AA55" s="25">
        <f t="shared" si="82"/>
        <v>220</v>
      </c>
      <c r="AB55" s="25">
        <f t="shared" si="77"/>
        <v>658485000</v>
      </c>
      <c r="AC55" s="25">
        <f t="shared" si="77"/>
        <v>60192000</v>
      </c>
      <c r="AD55" s="25">
        <f t="shared" si="77"/>
        <v>5530000</v>
      </c>
      <c r="AE55" s="25">
        <f t="shared" si="77"/>
        <v>4590000</v>
      </c>
      <c r="AF55" s="25">
        <f t="shared" si="77"/>
        <v>0</v>
      </c>
      <c r="AG55" s="25">
        <f t="shared" si="77"/>
        <v>724207000</v>
      </c>
    </row>
    <row r="56" spans="2:33">
      <c r="B56" s="13" t="s">
        <v>281</v>
      </c>
      <c r="C56" s="41"/>
      <c r="D56" s="40"/>
      <c r="E56" s="40"/>
      <c r="F56" s="37"/>
      <c r="G56" s="46"/>
      <c r="H56" s="46"/>
      <c r="I56" s="46"/>
      <c r="J56" s="46"/>
      <c r="K56" s="46"/>
      <c r="L56" s="46"/>
      <c r="M56" s="46"/>
      <c r="N56" s="46"/>
      <c r="O56" s="46"/>
      <c r="P56" s="45"/>
      <c r="Q56" s="35"/>
      <c r="R56" s="12"/>
      <c r="S56" s="12"/>
      <c r="T56" s="12"/>
      <c r="U56" s="12"/>
      <c r="V56" s="28"/>
      <c r="W56" s="12"/>
      <c r="X56" s="12">
        <f>W55-X55</f>
        <v>425</v>
      </c>
      <c r="Y56" s="12"/>
      <c r="Z56" s="12"/>
      <c r="AA56" s="12"/>
      <c r="AB56" s="12"/>
      <c r="AC56" s="12"/>
      <c r="AD56" s="12"/>
      <c r="AE56" s="12"/>
      <c r="AF56" s="12"/>
      <c r="AG56" s="12"/>
    </row>
    <row r="57" spans="2:33" s="1" customFormat="1">
      <c r="B57" s="31" t="s">
        <v>276</v>
      </c>
      <c r="C57" s="160"/>
      <c r="D57" s="37"/>
      <c r="E57" s="37"/>
      <c r="F57" s="37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35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13"/>
      <c r="AC57" s="13"/>
      <c r="AD57" s="13"/>
      <c r="AE57" s="13"/>
      <c r="AF57" s="13"/>
      <c r="AG57" s="13"/>
    </row>
    <row r="58" spans="2:33">
      <c r="B58" s="13" t="s">
        <v>23</v>
      </c>
      <c r="C58" s="38">
        <v>9</v>
      </c>
      <c r="D58" s="38">
        <v>0</v>
      </c>
      <c r="E58" s="38">
        <v>0</v>
      </c>
      <c r="F58" s="37">
        <f>SUM(C58:E58)</f>
        <v>9</v>
      </c>
      <c r="G58" s="46"/>
      <c r="H58" s="46">
        <v>0</v>
      </c>
      <c r="I58" s="46">
        <v>0</v>
      </c>
      <c r="J58" s="46">
        <v>15</v>
      </c>
      <c r="K58" s="46">
        <v>0</v>
      </c>
      <c r="L58" s="46">
        <v>0</v>
      </c>
      <c r="M58" s="46"/>
      <c r="N58" s="46">
        <v>0</v>
      </c>
      <c r="O58" s="46">
        <v>0</v>
      </c>
      <c r="P58" s="45">
        <f>SUM(G58:O58)</f>
        <v>15</v>
      </c>
      <c r="Q58" s="35">
        <f>F58+P58</f>
        <v>24</v>
      </c>
      <c r="R58" s="12">
        <v>14</v>
      </c>
      <c r="S58" s="12"/>
      <c r="T58" s="12"/>
      <c r="U58" s="12">
        <v>10</v>
      </c>
      <c r="V58" s="12">
        <v>5</v>
      </c>
      <c r="W58" s="12">
        <f>Q58-SUM(R58:V58)</f>
        <v>-5</v>
      </c>
      <c r="X58" s="12">
        <f>F58-R58-T58</f>
        <v>-5</v>
      </c>
      <c r="Y58" s="12"/>
      <c r="Z58" s="12"/>
      <c r="AA58" s="12"/>
      <c r="AB58" s="12">
        <f>((X58*600000)+(Y58*600000)+(Z58*450000)+(AA58*300000))</f>
        <v>-3000000</v>
      </c>
      <c r="AC58" s="12">
        <f>W58*33000</f>
        <v>-165000</v>
      </c>
      <c r="AD58" s="12">
        <f>W58*5000</f>
        <v>-25000</v>
      </c>
      <c r="AE58" s="12"/>
      <c r="AF58" s="12"/>
      <c r="AG58" s="12">
        <f>SUM(AB58:AD58)</f>
        <v>-3190000</v>
      </c>
    </row>
    <row r="59" spans="2:33">
      <c r="B59" s="13" t="s">
        <v>24</v>
      </c>
      <c r="C59" s="38">
        <v>21</v>
      </c>
      <c r="D59" s="38">
        <v>0</v>
      </c>
      <c r="E59" s="38">
        <v>0</v>
      </c>
      <c r="F59" s="37">
        <f>SUM(C59:E59)</f>
        <v>21</v>
      </c>
      <c r="G59" s="46">
        <v>0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  <c r="M59" s="46">
        <v>0</v>
      </c>
      <c r="N59" s="46">
        <v>0</v>
      </c>
      <c r="O59" s="46">
        <v>0</v>
      </c>
      <c r="P59" s="45">
        <f>SUM(G59:O59)</f>
        <v>0</v>
      </c>
      <c r="Q59" s="35">
        <f>F59+P59</f>
        <v>21</v>
      </c>
      <c r="R59" s="12">
        <v>0</v>
      </c>
      <c r="S59" s="12"/>
      <c r="T59" s="12"/>
      <c r="U59" s="12"/>
      <c r="V59" s="12"/>
      <c r="W59" s="12">
        <f>Q59-SUM(R59:V59)</f>
        <v>21</v>
      </c>
      <c r="X59" s="12">
        <f>F59-R59-T59</f>
        <v>21</v>
      </c>
      <c r="Y59" s="12"/>
      <c r="Z59" s="12"/>
      <c r="AA59" s="12"/>
      <c r="AB59" s="12">
        <f>((X59*600000)+(Y59*600000)+(Z59*450000)+(AA59*300000))</f>
        <v>12600000</v>
      </c>
      <c r="AC59" s="12">
        <f t="shared" ref="AC59:AC61" si="83">W59*33000</f>
        <v>693000</v>
      </c>
      <c r="AD59" s="12"/>
      <c r="AE59" s="12">
        <f>(X59-Y59-Z59-AA59)*160000</f>
        <v>3360000</v>
      </c>
      <c r="AF59" s="12"/>
      <c r="AG59" s="12">
        <f t="shared" ref="AG59:AG61" si="84">SUM(AB59:AD59)</f>
        <v>13293000</v>
      </c>
    </row>
    <row r="60" spans="2:33">
      <c r="B60" s="13" t="s">
        <v>25</v>
      </c>
      <c r="C60" s="38">
        <v>9</v>
      </c>
      <c r="D60" s="38">
        <v>54</v>
      </c>
      <c r="E60" s="38">
        <v>0</v>
      </c>
      <c r="F60" s="37">
        <f>SUM(C60:E60)</f>
        <v>63</v>
      </c>
      <c r="G60" s="46">
        <v>10</v>
      </c>
      <c r="H60" s="46">
        <v>0</v>
      </c>
      <c r="I60" s="46">
        <v>0</v>
      </c>
      <c r="J60" s="46"/>
      <c r="K60" s="46">
        <v>0</v>
      </c>
      <c r="L60" s="46">
        <v>0</v>
      </c>
      <c r="M60" s="46">
        <v>20</v>
      </c>
      <c r="N60" s="46">
        <v>0</v>
      </c>
      <c r="O60" s="46">
        <v>0</v>
      </c>
      <c r="P60" s="45">
        <f>SUM(G60:O60)</f>
        <v>30</v>
      </c>
      <c r="Q60" s="35">
        <f>F60+P60</f>
        <v>93</v>
      </c>
      <c r="R60" s="12">
        <v>0</v>
      </c>
      <c r="S60" s="12"/>
      <c r="T60" s="12"/>
      <c r="U60" s="12">
        <v>30</v>
      </c>
      <c r="V60" s="12"/>
      <c r="W60" s="12">
        <f>Q60-SUM(R60:V60)</f>
        <v>63</v>
      </c>
      <c r="X60" s="12">
        <f>F60-R60-T60</f>
        <v>63</v>
      </c>
      <c r="Y60" s="12">
        <v>0</v>
      </c>
      <c r="Z60" s="12"/>
      <c r="AA60" s="12">
        <v>0</v>
      </c>
      <c r="AB60" s="12">
        <f>((X60*600000)+(Y60*600000)+(Z60*450000)+(AA60*300000))</f>
        <v>37800000</v>
      </c>
      <c r="AC60" s="12">
        <f t="shared" si="83"/>
        <v>2079000</v>
      </c>
      <c r="AD60" s="12"/>
      <c r="AE60" s="12">
        <f t="shared" ref="AE60" si="85">(X60-Y60-Z60-AA60)*160000</f>
        <v>10080000</v>
      </c>
      <c r="AF60" s="12"/>
      <c r="AG60" s="12">
        <f t="shared" si="84"/>
        <v>39879000</v>
      </c>
    </row>
    <row r="61" spans="2:33">
      <c r="B61" s="13" t="s">
        <v>26</v>
      </c>
      <c r="C61" s="38">
        <v>0</v>
      </c>
      <c r="D61" s="38">
        <v>0</v>
      </c>
      <c r="E61" s="38">
        <v>0</v>
      </c>
      <c r="F61" s="37">
        <f>SUM(C61:E61)</f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45">
        <f>SUM(G61:O61)</f>
        <v>0</v>
      </c>
      <c r="Q61" s="35">
        <f>F61+P61</f>
        <v>0</v>
      </c>
      <c r="R61" s="12">
        <v>0</v>
      </c>
      <c r="S61" s="12"/>
      <c r="T61" s="12"/>
      <c r="U61" s="12"/>
      <c r="V61" s="12"/>
      <c r="W61" s="12">
        <f>Q61-SUM(R61:V61)</f>
        <v>0</v>
      </c>
      <c r="X61" s="12">
        <f>F61-R61-T61</f>
        <v>0</v>
      </c>
      <c r="Y61" s="12"/>
      <c r="Z61" s="12"/>
      <c r="AA61" s="12"/>
      <c r="AB61" s="12">
        <f t="shared" ref="AB61" si="86">((X61*600000)+(Y61*600000)+(Z61*450000)+(AA61*300000))</f>
        <v>0</v>
      </c>
      <c r="AC61" s="12">
        <f t="shared" si="83"/>
        <v>0</v>
      </c>
      <c r="AD61" s="12"/>
      <c r="AE61" s="12">
        <f>(X61-Y61-Z61-AA61)*160000</f>
        <v>0</v>
      </c>
      <c r="AF61" s="12"/>
      <c r="AG61" s="12">
        <f t="shared" si="84"/>
        <v>0</v>
      </c>
    </row>
    <row r="62" spans="2:33">
      <c r="B62" s="13" t="s">
        <v>22</v>
      </c>
      <c r="C62" s="38"/>
      <c r="D62" s="38">
        <v>70</v>
      </c>
      <c r="E62" s="38">
        <v>0</v>
      </c>
      <c r="F62" s="37">
        <f>SUM(C62:E62)</f>
        <v>70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5">
        <f>SUM(G62:O62)</f>
        <v>0</v>
      </c>
      <c r="Q62" s="35">
        <f>F62+P62</f>
        <v>70</v>
      </c>
      <c r="R62" s="12"/>
      <c r="S62" s="12"/>
      <c r="T62" s="12"/>
      <c r="U62" s="12"/>
      <c r="V62" s="12"/>
      <c r="W62" s="12"/>
      <c r="X62" s="12">
        <f>F62-R62-T62</f>
        <v>70</v>
      </c>
      <c r="Y62" s="12"/>
      <c r="Z62" s="12"/>
      <c r="AA62" s="12"/>
      <c r="AB62" s="12"/>
      <c r="AC62" s="12"/>
      <c r="AD62" s="12"/>
      <c r="AE62" s="12"/>
      <c r="AF62" s="12"/>
      <c r="AG62" s="12"/>
    </row>
    <row r="63" spans="2:33" s="1" customFormat="1">
      <c r="B63" s="54" t="s">
        <v>68</v>
      </c>
      <c r="C63" s="55"/>
      <c r="D63" s="55"/>
      <c r="E63" s="55"/>
      <c r="F63" s="55">
        <f>SUM(F58:F62)</f>
        <v>163</v>
      </c>
      <c r="G63" s="55">
        <f t="shared" ref="G63:AG63" si="87">SUM(G58:G62)</f>
        <v>10</v>
      </c>
      <c r="H63" s="55">
        <f t="shared" si="87"/>
        <v>0</v>
      </c>
      <c r="I63" s="55">
        <f t="shared" si="87"/>
        <v>0</v>
      </c>
      <c r="J63" s="55">
        <f t="shared" si="87"/>
        <v>15</v>
      </c>
      <c r="K63" s="55">
        <f t="shared" si="87"/>
        <v>0</v>
      </c>
      <c r="L63" s="55">
        <f t="shared" si="87"/>
        <v>0</v>
      </c>
      <c r="M63" s="55">
        <f t="shared" si="87"/>
        <v>20</v>
      </c>
      <c r="N63" s="55">
        <f t="shared" si="87"/>
        <v>0</v>
      </c>
      <c r="O63" s="55">
        <f t="shared" si="87"/>
        <v>0</v>
      </c>
      <c r="P63" s="55">
        <f>SUM(P58:P62)</f>
        <v>45</v>
      </c>
      <c r="Q63" s="55">
        <f>SUM(Q58:Q62)</f>
        <v>208</v>
      </c>
      <c r="R63" s="55">
        <f t="shared" si="87"/>
        <v>14</v>
      </c>
      <c r="S63" s="55">
        <f t="shared" ref="S63" si="88">SUM(S58:S62)</f>
        <v>0</v>
      </c>
      <c r="T63" s="55">
        <f t="shared" ref="T63" si="89">SUM(T58:T62)</f>
        <v>0</v>
      </c>
      <c r="U63" s="55">
        <f t="shared" ref="U63" si="90">SUM(U58:U62)</f>
        <v>40</v>
      </c>
      <c r="V63" s="55">
        <f t="shared" ref="V63" si="91">SUM(V58:V62)</f>
        <v>5</v>
      </c>
      <c r="W63" s="55">
        <f t="shared" ref="W63:X63" si="92">SUM(W58:W62)</f>
        <v>79</v>
      </c>
      <c r="X63" s="55">
        <f t="shared" si="92"/>
        <v>149</v>
      </c>
      <c r="Y63" s="55">
        <f t="shared" ref="Y63" si="93">SUM(Y58:Y62)</f>
        <v>0</v>
      </c>
      <c r="Z63" s="55">
        <f t="shared" ref="Z63" si="94">SUM(Z58:Z62)</f>
        <v>0</v>
      </c>
      <c r="AA63" s="55">
        <f t="shared" ref="AA63" si="95">SUM(AA58:AA62)</f>
        <v>0</v>
      </c>
      <c r="AB63" s="55">
        <f>SUM(AB58:AB62)</f>
        <v>47400000</v>
      </c>
      <c r="AC63" s="55">
        <f t="shared" si="87"/>
        <v>2607000</v>
      </c>
      <c r="AD63" s="55">
        <f t="shared" si="87"/>
        <v>-25000</v>
      </c>
      <c r="AE63" s="55">
        <f t="shared" si="87"/>
        <v>13440000</v>
      </c>
      <c r="AF63" s="55">
        <f t="shared" si="87"/>
        <v>0</v>
      </c>
      <c r="AG63" s="55">
        <f t="shared" si="87"/>
        <v>49982000</v>
      </c>
    </row>
    <row r="64" spans="2:33">
      <c r="B64" s="31" t="s">
        <v>277</v>
      </c>
      <c r="C64" s="39"/>
      <c r="D64" s="38"/>
      <c r="E64" s="38"/>
      <c r="F64" s="37"/>
      <c r="G64" s="46"/>
      <c r="H64" s="46"/>
      <c r="I64" s="46"/>
      <c r="J64" s="46"/>
      <c r="K64" s="46"/>
      <c r="L64" s="46"/>
      <c r="M64" s="46"/>
      <c r="N64" s="46"/>
      <c r="O64" s="46"/>
      <c r="P64" s="45">
        <f t="shared" si="1"/>
        <v>0</v>
      </c>
      <c r="Q64" s="35">
        <f t="shared" ref="Q64:Q70" si="96">F64+P64</f>
        <v>0</v>
      </c>
      <c r="R64" s="12"/>
      <c r="S64" s="12"/>
      <c r="T64" s="12"/>
      <c r="U64" s="12"/>
      <c r="V64" s="28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2:33">
      <c r="B65" s="13" t="s">
        <v>23</v>
      </c>
      <c r="C65" s="38"/>
      <c r="D65" s="38">
        <v>8</v>
      </c>
      <c r="E65" s="38"/>
      <c r="F65" s="37">
        <f t="shared" si="0"/>
        <v>8</v>
      </c>
      <c r="G65" s="46"/>
      <c r="H65" s="46"/>
      <c r="I65" s="46"/>
      <c r="J65" s="103"/>
      <c r="K65" s="46"/>
      <c r="L65" s="46"/>
      <c r="M65" s="46">
        <v>10</v>
      </c>
      <c r="N65" s="46"/>
      <c r="O65" s="46"/>
      <c r="P65" s="45">
        <f t="shared" si="1"/>
        <v>10</v>
      </c>
      <c r="Q65" s="35">
        <f t="shared" si="96"/>
        <v>18</v>
      </c>
      <c r="R65" s="12"/>
      <c r="S65" s="12"/>
      <c r="T65" s="12"/>
      <c r="U65" s="12"/>
      <c r="V65" s="28"/>
      <c r="W65" s="12">
        <f t="shared" ref="W65:W70" si="97">Q65-SUM(R65:V65)</f>
        <v>18</v>
      </c>
      <c r="X65" s="12">
        <f t="shared" ref="X65:X70" si="98">F65-R65-T65</f>
        <v>8</v>
      </c>
      <c r="Y65" s="12"/>
      <c r="Z65" s="12">
        <v>10</v>
      </c>
      <c r="AA65" s="12">
        <v>5</v>
      </c>
      <c r="AB65" s="12">
        <f>((X65*440000)+(Y65*440000)+(Z65*295000)+(AA65*150000))</f>
        <v>7220000</v>
      </c>
      <c r="AC65" s="12">
        <f>W65*33000</f>
        <v>594000</v>
      </c>
      <c r="AD65" s="12">
        <f>W65*5000</f>
        <v>90000</v>
      </c>
      <c r="AE65" s="12"/>
      <c r="AF65" s="12"/>
      <c r="AG65" s="12">
        <f t="shared" ref="AG65:AG69" si="99">SUM(AB65:AD65)</f>
        <v>7904000</v>
      </c>
    </row>
    <row r="66" spans="2:33">
      <c r="B66" s="13" t="s">
        <v>24</v>
      </c>
      <c r="C66" s="38"/>
      <c r="D66" s="38"/>
      <c r="E66" s="38"/>
      <c r="F66" s="37">
        <f t="shared" si="0"/>
        <v>0</v>
      </c>
      <c r="G66" s="46"/>
      <c r="H66" s="46"/>
      <c r="I66" s="46"/>
      <c r="J66" s="46"/>
      <c r="K66" s="46"/>
      <c r="L66" s="46"/>
      <c r="M66" s="46"/>
      <c r="N66" s="46"/>
      <c r="O66" s="46"/>
      <c r="P66" s="45">
        <f t="shared" si="1"/>
        <v>0</v>
      </c>
      <c r="Q66" s="35">
        <f t="shared" si="96"/>
        <v>0</v>
      </c>
      <c r="R66" s="12"/>
      <c r="S66" s="12"/>
      <c r="T66" s="12"/>
      <c r="U66" s="12"/>
      <c r="V66" s="28"/>
      <c r="W66" s="12">
        <f t="shared" si="97"/>
        <v>0</v>
      </c>
      <c r="X66" s="12">
        <f t="shared" si="98"/>
        <v>0</v>
      </c>
      <c r="Y66" s="12"/>
      <c r="Z66" s="12"/>
      <c r="AA66" s="12"/>
      <c r="AB66" s="12">
        <f t="shared" ref="AB66:AB70" si="100">((X66*440000)+(Y66*440000)+(Z66*295000)+(AA66*150000))</f>
        <v>0</v>
      </c>
      <c r="AC66" s="12">
        <f t="shared" ref="AC66:AC69" si="101">W66*33000</f>
        <v>0</v>
      </c>
      <c r="AD66" s="12"/>
      <c r="AE66" s="12"/>
      <c r="AF66" s="12"/>
      <c r="AG66" s="12">
        <f t="shared" si="99"/>
        <v>0</v>
      </c>
    </row>
    <row r="67" spans="2:33">
      <c r="B67" s="13" t="s">
        <v>25</v>
      </c>
      <c r="C67" s="38"/>
      <c r="D67" s="38">
        <v>27</v>
      </c>
      <c r="E67" s="38"/>
      <c r="F67" s="37">
        <f t="shared" si="0"/>
        <v>27</v>
      </c>
      <c r="G67" s="46"/>
      <c r="H67" s="46"/>
      <c r="I67" s="46"/>
      <c r="J67" s="46">
        <v>20</v>
      </c>
      <c r="K67" s="46"/>
      <c r="L67" s="46"/>
      <c r="M67" s="46">
        <v>30</v>
      </c>
      <c r="N67" s="46"/>
      <c r="O67" s="46"/>
      <c r="P67" s="45">
        <f t="shared" si="1"/>
        <v>50</v>
      </c>
      <c r="Q67" s="35">
        <f t="shared" si="96"/>
        <v>77</v>
      </c>
      <c r="R67" s="12"/>
      <c r="S67" s="12"/>
      <c r="T67" s="12"/>
      <c r="U67" s="12">
        <v>50</v>
      </c>
      <c r="V67" s="28"/>
      <c r="W67" s="12">
        <f t="shared" si="97"/>
        <v>27</v>
      </c>
      <c r="X67" s="12">
        <f t="shared" si="98"/>
        <v>27</v>
      </c>
      <c r="Y67" s="12"/>
      <c r="Z67" s="12">
        <v>0</v>
      </c>
      <c r="AA67" s="12">
        <v>0</v>
      </c>
      <c r="AB67" s="12">
        <f t="shared" si="100"/>
        <v>11880000</v>
      </c>
      <c r="AC67" s="12">
        <f t="shared" si="101"/>
        <v>891000</v>
      </c>
      <c r="AD67" s="12">
        <f>(Y67+Z67+AA67)*5000</f>
        <v>0</v>
      </c>
      <c r="AE67" s="12"/>
      <c r="AF67" s="12"/>
      <c r="AG67" s="12">
        <f t="shared" si="99"/>
        <v>12771000</v>
      </c>
    </row>
    <row r="68" spans="2:33">
      <c r="B68" s="13" t="s">
        <v>26</v>
      </c>
      <c r="C68" s="38"/>
      <c r="D68" s="38">
        <v>21</v>
      </c>
      <c r="E68" s="38"/>
      <c r="F68" s="37">
        <f t="shared" si="0"/>
        <v>21</v>
      </c>
      <c r="G68" s="46"/>
      <c r="H68" s="46"/>
      <c r="I68" s="46"/>
      <c r="J68" s="46"/>
      <c r="K68" s="46"/>
      <c r="L68" s="46"/>
      <c r="M68" s="46"/>
      <c r="N68" s="46"/>
      <c r="O68" s="46"/>
      <c r="P68" s="45">
        <f t="shared" si="1"/>
        <v>0</v>
      </c>
      <c r="Q68" s="35">
        <f t="shared" si="96"/>
        <v>21</v>
      </c>
      <c r="R68" s="12"/>
      <c r="S68" s="12"/>
      <c r="T68" s="12"/>
      <c r="U68" s="12"/>
      <c r="V68" s="28"/>
      <c r="W68" s="12">
        <f t="shared" si="97"/>
        <v>21</v>
      </c>
      <c r="X68" s="12">
        <f t="shared" si="98"/>
        <v>21</v>
      </c>
      <c r="Y68" s="12"/>
      <c r="Z68" s="12"/>
      <c r="AA68" s="12"/>
      <c r="AB68" s="12">
        <f t="shared" si="100"/>
        <v>9240000</v>
      </c>
      <c r="AC68" s="12">
        <f t="shared" si="101"/>
        <v>693000</v>
      </c>
      <c r="AD68" s="12"/>
      <c r="AE68" s="12">
        <f>W68*30000</f>
        <v>630000</v>
      </c>
      <c r="AF68" s="12">
        <f>W68*150000</f>
        <v>3150000</v>
      </c>
      <c r="AG68" s="12">
        <f t="shared" si="99"/>
        <v>9933000</v>
      </c>
    </row>
    <row r="69" spans="2:33">
      <c r="B69" s="13" t="s">
        <v>22</v>
      </c>
      <c r="C69" s="38"/>
      <c r="D69" s="38"/>
      <c r="E69" s="38"/>
      <c r="F69" s="37">
        <f t="shared" si="0"/>
        <v>0</v>
      </c>
      <c r="G69" s="46"/>
      <c r="H69" s="46"/>
      <c r="I69" s="46"/>
      <c r="J69" s="46"/>
      <c r="K69" s="46"/>
      <c r="L69" s="46"/>
      <c r="M69" s="46"/>
      <c r="N69" s="46"/>
      <c r="O69" s="46"/>
      <c r="P69" s="45">
        <f t="shared" si="1"/>
        <v>0</v>
      </c>
      <c r="Q69" s="35">
        <f t="shared" si="96"/>
        <v>0</v>
      </c>
      <c r="R69" s="12"/>
      <c r="S69" s="12"/>
      <c r="T69" s="12"/>
      <c r="U69" s="12"/>
      <c r="V69" s="28"/>
      <c r="W69" s="12">
        <f t="shared" si="97"/>
        <v>0</v>
      </c>
      <c r="X69" s="12">
        <f t="shared" si="98"/>
        <v>0</v>
      </c>
      <c r="Y69" s="12"/>
      <c r="Z69" s="12"/>
      <c r="AA69" s="12"/>
      <c r="AB69" s="12">
        <f t="shared" si="100"/>
        <v>0</v>
      </c>
      <c r="AC69" s="12">
        <f t="shared" si="101"/>
        <v>0</v>
      </c>
      <c r="AD69" s="12"/>
      <c r="AE69" s="12">
        <f>W69*30000</f>
        <v>0</v>
      </c>
      <c r="AF69" s="12">
        <f>W69*150000</f>
        <v>0</v>
      </c>
      <c r="AG69" s="12">
        <f t="shared" si="99"/>
        <v>0</v>
      </c>
    </row>
    <row r="70" spans="2:33">
      <c r="B70" s="13" t="s">
        <v>45</v>
      </c>
      <c r="C70" s="38"/>
      <c r="D70" s="38"/>
      <c r="E70" s="38"/>
      <c r="F70" s="37">
        <f t="shared" si="0"/>
        <v>0</v>
      </c>
      <c r="G70" s="46"/>
      <c r="H70" s="46"/>
      <c r="I70" s="46"/>
      <c r="J70" s="46"/>
      <c r="K70" s="46"/>
      <c r="L70" s="46"/>
      <c r="M70" s="46"/>
      <c r="N70" s="46"/>
      <c r="O70" s="46"/>
      <c r="P70" s="45">
        <f t="shared" si="1"/>
        <v>0</v>
      </c>
      <c r="Q70" s="35">
        <f t="shared" si="96"/>
        <v>0</v>
      </c>
      <c r="R70" s="12"/>
      <c r="S70" s="12"/>
      <c r="T70" s="12"/>
      <c r="U70" s="12"/>
      <c r="V70" s="28"/>
      <c r="W70" s="12">
        <f t="shared" si="97"/>
        <v>0</v>
      </c>
      <c r="X70" s="12">
        <f t="shared" si="98"/>
        <v>0</v>
      </c>
      <c r="Y70" s="12"/>
      <c r="Z70" s="12"/>
      <c r="AA70" s="12"/>
      <c r="AB70" s="12">
        <f t="shared" si="100"/>
        <v>0</v>
      </c>
      <c r="AC70" s="12"/>
      <c r="AD70" s="12"/>
      <c r="AE70" s="12"/>
      <c r="AF70" s="12"/>
      <c r="AG70" s="12"/>
    </row>
    <row r="71" spans="2:33">
      <c r="B71" s="55" t="s">
        <v>46</v>
      </c>
      <c r="C71" s="55">
        <f>SUM(C65:C70)</f>
        <v>0</v>
      </c>
      <c r="D71" s="55">
        <f>SUM(D65:D70)</f>
        <v>56</v>
      </c>
      <c r="E71" s="55"/>
      <c r="F71" s="55">
        <f>SUM(F65:F70)</f>
        <v>56</v>
      </c>
      <c r="G71" s="55">
        <f t="shared" ref="G71:AG71" si="102">SUM(G65:G70)</f>
        <v>0</v>
      </c>
      <c r="H71" s="55">
        <f t="shared" si="102"/>
        <v>0</v>
      </c>
      <c r="I71" s="55">
        <f t="shared" si="102"/>
        <v>0</v>
      </c>
      <c r="J71" s="55">
        <f t="shared" si="102"/>
        <v>20</v>
      </c>
      <c r="K71" s="55">
        <f t="shared" si="102"/>
        <v>0</v>
      </c>
      <c r="L71" s="55">
        <f t="shared" si="102"/>
        <v>0</v>
      </c>
      <c r="M71" s="55">
        <f>SUM(M65:M70)</f>
        <v>40</v>
      </c>
      <c r="N71" s="55">
        <f t="shared" si="102"/>
        <v>0</v>
      </c>
      <c r="O71" s="55">
        <f t="shared" si="102"/>
        <v>0</v>
      </c>
      <c r="P71" s="55">
        <f t="shared" si="102"/>
        <v>60</v>
      </c>
      <c r="Q71" s="55">
        <f>SUM(Q65:Q70)</f>
        <v>116</v>
      </c>
      <c r="R71" s="55">
        <f t="shared" si="102"/>
        <v>0</v>
      </c>
      <c r="S71" s="55">
        <f t="shared" ref="S71" si="103">SUM(S65:S70)</f>
        <v>0</v>
      </c>
      <c r="T71" s="55">
        <f t="shared" ref="T71" si="104">SUM(T65:T70)</f>
        <v>0</v>
      </c>
      <c r="U71" s="55">
        <f t="shared" ref="U71" si="105">SUM(U65:U70)</f>
        <v>50</v>
      </c>
      <c r="V71" s="55">
        <f t="shared" ref="V71" si="106">SUM(V65:V70)</f>
        <v>0</v>
      </c>
      <c r="W71" s="55">
        <f>SUM(W65:W70)</f>
        <v>66</v>
      </c>
      <c r="X71" s="55">
        <f>SUM(X65:X70)</f>
        <v>56</v>
      </c>
      <c r="Y71" s="55">
        <f t="shared" ref="Y71:AA71" si="107">SUM(Y65:Y70)</f>
        <v>0</v>
      </c>
      <c r="Z71" s="55">
        <f t="shared" si="107"/>
        <v>10</v>
      </c>
      <c r="AA71" s="55">
        <f t="shared" si="107"/>
        <v>5</v>
      </c>
      <c r="AB71" s="55">
        <f t="shared" ref="AB71" si="108">SUM(AB65:AB70)</f>
        <v>28340000</v>
      </c>
      <c r="AC71" s="55">
        <f t="shared" ref="AC71" si="109">SUM(AC65:AC70)</f>
        <v>2178000</v>
      </c>
      <c r="AD71" s="55">
        <f t="shared" si="102"/>
        <v>90000</v>
      </c>
      <c r="AE71" s="55">
        <f t="shared" si="102"/>
        <v>630000</v>
      </c>
      <c r="AF71" s="55">
        <f t="shared" si="102"/>
        <v>3150000</v>
      </c>
      <c r="AG71" s="55">
        <f t="shared" si="102"/>
        <v>30608000</v>
      </c>
    </row>
    <row r="72" spans="2:33">
      <c r="B72" s="31" t="s">
        <v>278</v>
      </c>
      <c r="C72" s="39"/>
      <c r="D72" s="40"/>
      <c r="E72" s="40"/>
      <c r="F72" s="37"/>
      <c r="G72" s="46"/>
      <c r="H72" s="46"/>
      <c r="I72" s="46"/>
      <c r="J72" s="46"/>
      <c r="K72" s="46"/>
      <c r="L72" s="46"/>
      <c r="M72" s="46"/>
      <c r="N72" s="46"/>
      <c r="O72" s="46"/>
      <c r="P72" s="45"/>
      <c r="Q72" s="35"/>
      <c r="R72" s="12"/>
      <c r="S72" s="12"/>
      <c r="T72" s="12"/>
      <c r="U72" s="12"/>
      <c r="V72" s="28"/>
      <c r="W72" s="12"/>
      <c r="X72" s="12">
        <f t="shared" ref="X72:X78" si="110">F72-R72-T72</f>
        <v>0</v>
      </c>
      <c r="Y72" s="12"/>
      <c r="Z72" s="12"/>
      <c r="AA72" s="12"/>
      <c r="AB72" s="12"/>
      <c r="AC72" s="12"/>
      <c r="AD72" s="12"/>
      <c r="AE72" s="12"/>
      <c r="AF72" s="12"/>
      <c r="AG72" s="12"/>
    </row>
    <row r="73" spans="2:33" s="3" customFormat="1">
      <c r="B73" s="62" t="s">
        <v>23</v>
      </c>
      <c r="C73" s="63"/>
      <c r="D73" s="63"/>
      <c r="E73" s="63"/>
      <c r="F73" s="64">
        <f t="shared" si="0"/>
        <v>0</v>
      </c>
      <c r="G73" s="65"/>
      <c r="H73" s="65"/>
      <c r="I73" s="65"/>
      <c r="J73" s="65"/>
      <c r="K73" s="65"/>
      <c r="L73" s="65"/>
      <c r="M73" s="65">
        <v>10</v>
      </c>
      <c r="N73" s="65"/>
      <c r="O73" s="65"/>
      <c r="P73" s="66">
        <f t="shared" si="1"/>
        <v>10</v>
      </c>
      <c r="Q73" s="67">
        <f t="shared" ref="Q73:Q78" si="111">F73+P73</f>
        <v>10</v>
      </c>
      <c r="R73" s="67"/>
      <c r="S73" s="67"/>
      <c r="T73" s="67"/>
      <c r="U73" s="67">
        <v>10</v>
      </c>
      <c r="V73" s="68">
        <v>0</v>
      </c>
      <c r="W73" s="67">
        <f t="shared" ref="W73:W78" si="112">Q73-SUM(R73:V73)</f>
        <v>0</v>
      </c>
      <c r="X73" s="67">
        <f>F73-R73-T73</f>
        <v>0</v>
      </c>
      <c r="Y73" s="67"/>
      <c r="Z73" s="67"/>
      <c r="AA73" s="67">
        <v>0</v>
      </c>
      <c r="AB73" s="67">
        <f>((X73*500000)+(Y73*500000)+(Z73*340000)+(AA73*170000))</f>
        <v>0</v>
      </c>
      <c r="AC73" s="67">
        <f t="shared" ref="AC73:AC77" si="113">W73*33000</f>
        <v>0</v>
      </c>
      <c r="AD73" s="67">
        <f>W73*5000</f>
        <v>0</v>
      </c>
      <c r="AE73" s="67"/>
      <c r="AF73" s="67"/>
      <c r="AG73" s="67">
        <f t="shared" ref="AG73:AG77" si="114">SUM(AB73:AD73)</f>
        <v>0</v>
      </c>
    </row>
    <row r="74" spans="2:33">
      <c r="B74" s="13" t="s">
        <v>24</v>
      </c>
      <c r="C74" s="38"/>
      <c r="D74" s="38"/>
      <c r="E74" s="38"/>
      <c r="F74" s="37">
        <f t="shared" si="0"/>
        <v>0</v>
      </c>
      <c r="G74" s="46"/>
      <c r="H74" s="46"/>
      <c r="I74" s="46"/>
      <c r="J74" s="46"/>
      <c r="K74" s="46"/>
      <c r="L74" s="46"/>
      <c r="M74" s="46"/>
      <c r="N74" s="46"/>
      <c r="O74" s="46"/>
      <c r="P74" s="45">
        <f t="shared" si="1"/>
        <v>0</v>
      </c>
      <c r="Q74" s="35">
        <f t="shared" si="111"/>
        <v>0</v>
      </c>
      <c r="R74" s="12">
        <v>5</v>
      </c>
      <c r="S74" s="12"/>
      <c r="T74" s="12"/>
      <c r="U74" s="12"/>
      <c r="V74" s="28"/>
      <c r="W74" s="12">
        <f>Q74-SUM(R74:V74)</f>
        <v>-5</v>
      </c>
      <c r="X74" s="12">
        <f>F74-R74-T74</f>
        <v>-5</v>
      </c>
      <c r="Y74" s="12"/>
      <c r="Z74" s="12"/>
      <c r="AA74" s="12"/>
      <c r="AB74" s="67">
        <f t="shared" ref="AB74:AB77" si="115">((X74*500000)+(Y74*500000)+(Z74*340000)+(AA74*170000))</f>
        <v>-2500000</v>
      </c>
      <c r="AC74" s="67">
        <f t="shared" si="113"/>
        <v>-165000</v>
      </c>
      <c r="AD74" s="12"/>
      <c r="AE74" s="12"/>
      <c r="AF74" s="12"/>
      <c r="AG74" s="67">
        <f t="shared" si="114"/>
        <v>-2665000</v>
      </c>
    </row>
    <row r="75" spans="2:33">
      <c r="B75" s="13" t="s">
        <v>25</v>
      </c>
      <c r="C75" s="38">
        <v>5</v>
      </c>
      <c r="D75" s="38">
        <v>9</v>
      </c>
      <c r="E75" s="38"/>
      <c r="F75" s="37">
        <f>SUM(C75:E75)</f>
        <v>14</v>
      </c>
      <c r="G75" s="46"/>
      <c r="H75" s="46"/>
      <c r="I75" s="46"/>
      <c r="J75" s="46"/>
      <c r="K75" s="46"/>
      <c r="L75" s="46"/>
      <c r="M75" s="46">
        <v>0</v>
      </c>
      <c r="N75" s="46"/>
      <c r="O75" s="46"/>
      <c r="P75" s="45">
        <f t="shared" si="1"/>
        <v>0</v>
      </c>
      <c r="Q75" s="35">
        <f t="shared" si="111"/>
        <v>14</v>
      </c>
      <c r="R75" s="12"/>
      <c r="S75" s="12"/>
      <c r="T75" s="12"/>
      <c r="U75" s="12">
        <v>20</v>
      </c>
      <c r="V75" s="28"/>
      <c r="W75" s="12">
        <f t="shared" si="112"/>
        <v>-6</v>
      </c>
      <c r="X75" s="12">
        <f t="shared" si="110"/>
        <v>14</v>
      </c>
      <c r="Y75" s="12"/>
      <c r="Z75" s="12"/>
      <c r="AA75" s="12">
        <v>0</v>
      </c>
      <c r="AB75" s="67">
        <f t="shared" si="115"/>
        <v>7000000</v>
      </c>
      <c r="AC75" s="67">
        <f t="shared" si="113"/>
        <v>-198000</v>
      </c>
      <c r="AD75" s="12">
        <f>(Y75+Z75+AA75)*5000</f>
        <v>0</v>
      </c>
      <c r="AE75" s="12"/>
      <c r="AF75" s="12"/>
      <c r="AG75" s="67">
        <f t="shared" si="114"/>
        <v>6802000</v>
      </c>
    </row>
    <row r="76" spans="2:33">
      <c r="B76" s="13" t="s">
        <v>26</v>
      </c>
      <c r="C76" s="38"/>
      <c r="D76" s="38"/>
      <c r="E76" s="38"/>
      <c r="F76" s="37">
        <f t="shared" si="0"/>
        <v>0</v>
      </c>
      <c r="G76" s="46"/>
      <c r="H76" s="46"/>
      <c r="I76" s="46"/>
      <c r="J76" s="46"/>
      <c r="K76" s="46"/>
      <c r="L76" s="46"/>
      <c r="M76" s="46"/>
      <c r="N76" s="46"/>
      <c r="O76" s="46"/>
      <c r="P76" s="45">
        <f t="shared" si="1"/>
        <v>0</v>
      </c>
      <c r="Q76" s="35">
        <f t="shared" si="111"/>
        <v>0</v>
      </c>
      <c r="R76" s="12"/>
      <c r="S76" s="12"/>
      <c r="T76" s="12"/>
      <c r="U76" s="12"/>
      <c r="V76" s="28"/>
      <c r="W76" s="12">
        <f t="shared" si="112"/>
        <v>0</v>
      </c>
      <c r="X76" s="12">
        <f t="shared" si="110"/>
        <v>0</v>
      </c>
      <c r="Y76" s="12"/>
      <c r="Z76" s="12"/>
      <c r="AA76" s="12"/>
      <c r="AB76" s="67">
        <f t="shared" si="115"/>
        <v>0</v>
      </c>
      <c r="AC76" s="67">
        <f t="shared" si="113"/>
        <v>0</v>
      </c>
      <c r="AD76" s="12"/>
      <c r="AE76" s="12">
        <f>W76*30000</f>
        <v>0</v>
      </c>
      <c r="AF76" s="12">
        <f>W76*150000</f>
        <v>0</v>
      </c>
      <c r="AG76" s="67">
        <f t="shared" si="114"/>
        <v>0</v>
      </c>
    </row>
    <row r="77" spans="2:33">
      <c r="B77" s="13" t="s">
        <v>22</v>
      </c>
      <c r="C77" s="38"/>
      <c r="D77" s="38"/>
      <c r="E77" s="38"/>
      <c r="F77" s="37">
        <f t="shared" si="0"/>
        <v>0</v>
      </c>
      <c r="G77" s="46"/>
      <c r="H77" s="46"/>
      <c r="I77" s="46"/>
      <c r="J77" s="46"/>
      <c r="K77" s="46"/>
      <c r="L77" s="46"/>
      <c r="M77" s="46"/>
      <c r="N77" s="46"/>
      <c r="O77" s="46"/>
      <c r="P77" s="45">
        <f t="shared" si="1"/>
        <v>0</v>
      </c>
      <c r="Q77" s="35">
        <f t="shared" si="111"/>
        <v>0</v>
      </c>
      <c r="R77" s="12"/>
      <c r="S77" s="12"/>
      <c r="T77" s="12"/>
      <c r="U77" s="12"/>
      <c r="V77" s="28"/>
      <c r="W77" s="12">
        <f t="shared" si="112"/>
        <v>0</v>
      </c>
      <c r="X77" s="12">
        <f t="shared" si="110"/>
        <v>0</v>
      </c>
      <c r="Y77" s="12"/>
      <c r="Z77" s="12"/>
      <c r="AA77" s="12"/>
      <c r="AB77" s="67">
        <f t="shared" si="115"/>
        <v>0</v>
      </c>
      <c r="AC77" s="67">
        <f t="shared" si="113"/>
        <v>0</v>
      </c>
      <c r="AD77" s="12"/>
      <c r="AE77" s="12"/>
      <c r="AF77" s="12"/>
      <c r="AG77" s="67">
        <f t="shared" si="114"/>
        <v>0</v>
      </c>
    </row>
    <row r="78" spans="2:33">
      <c r="B78" s="13" t="s">
        <v>45</v>
      </c>
      <c r="C78" s="38"/>
      <c r="D78" s="38"/>
      <c r="E78" s="38"/>
      <c r="F78" s="37">
        <f t="shared" si="0"/>
        <v>0</v>
      </c>
      <c r="G78" s="46"/>
      <c r="H78" s="46"/>
      <c r="I78" s="46"/>
      <c r="J78" s="46"/>
      <c r="K78" s="46"/>
      <c r="L78" s="46"/>
      <c r="M78" s="46"/>
      <c r="N78" s="46"/>
      <c r="O78" s="46"/>
      <c r="P78" s="45">
        <f t="shared" si="1"/>
        <v>0</v>
      </c>
      <c r="Q78" s="35">
        <f t="shared" si="111"/>
        <v>0</v>
      </c>
      <c r="R78" s="12"/>
      <c r="S78" s="12"/>
      <c r="T78" s="12"/>
      <c r="U78" s="12"/>
      <c r="V78" s="28"/>
      <c r="W78" s="12">
        <f t="shared" si="112"/>
        <v>0</v>
      </c>
      <c r="X78" s="12">
        <f t="shared" si="110"/>
        <v>0</v>
      </c>
      <c r="Y78" s="12"/>
      <c r="Z78" s="12"/>
      <c r="AA78" s="12"/>
      <c r="AB78" s="12"/>
      <c r="AC78" s="12"/>
      <c r="AD78" s="12"/>
      <c r="AE78" s="12"/>
      <c r="AF78" s="12"/>
      <c r="AG78" s="12"/>
    </row>
    <row r="79" spans="2:33">
      <c r="B79" s="55" t="s">
        <v>46</v>
      </c>
      <c r="C79" s="55">
        <f>SUM(C73:C78)</f>
        <v>5</v>
      </c>
      <c r="D79" s="55">
        <f>SUM(D73:D78)</f>
        <v>9</v>
      </c>
      <c r="E79" s="55"/>
      <c r="F79" s="55">
        <f>SUM(F73:F78)</f>
        <v>14</v>
      </c>
      <c r="G79" s="55">
        <f t="shared" ref="G79:AF79" si="116">SUM(G73:G78)</f>
        <v>0</v>
      </c>
      <c r="H79" s="55">
        <f t="shared" si="116"/>
        <v>0</v>
      </c>
      <c r="I79" s="55">
        <f t="shared" si="116"/>
        <v>0</v>
      </c>
      <c r="J79" s="55">
        <f t="shared" si="116"/>
        <v>0</v>
      </c>
      <c r="K79" s="55">
        <f t="shared" si="116"/>
        <v>0</v>
      </c>
      <c r="L79" s="55">
        <f t="shared" si="116"/>
        <v>0</v>
      </c>
      <c r="M79" s="55">
        <f t="shared" si="116"/>
        <v>10</v>
      </c>
      <c r="N79" s="55">
        <f t="shared" si="116"/>
        <v>0</v>
      </c>
      <c r="O79" s="55">
        <f t="shared" si="116"/>
        <v>0</v>
      </c>
      <c r="P79" s="55">
        <f t="shared" si="116"/>
        <v>10</v>
      </c>
      <c r="Q79" s="55">
        <f t="shared" si="116"/>
        <v>24</v>
      </c>
      <c r="R79" s="55">
        <f>SUM(R73:R78)</f>
        <v>5</v>
      </c>
      <c r="S79" s="55">
        <f t="shared" ref="S79" si="117">SUM(S73:S78)</f>
        <v>0</v>
      </c>
      <c r="T79" s="55">
        <f t="shared" ref="T79" si="118">SUM(T73:T78)</f>
        <v>0</v>
      </c>
      <c r="U79" s="55">
        <f t="shared" ref="U79" si="119">SUM(U73:U78)</f>
        <v>30</v>
      </c>
      <c r="V79" s="55">
        <f t="shared" ref="V79" si="120">SUM(V73:V78)</f>
        <v>0</v>
      </c>
      <c r="W79" s="55">
        <f t="shared" ref="W79:AA79" si="121">SUM(W73:W78)</f>
        <v>-11</v>
      </c>
      <c r="X79" s="55">
        <f t="shared" si="121"/>
        <v>9</v>
      </c>
      <c r="Y79" s="55">
        <f t="shared" si="121"/>
        <v>0</v>
      </c>
      <c r="Z79" s="55">
        <f t="shared" si="121"/>
        <v>0</v>
      </c>
      <c r="AA79" s="55">
        <f t="shared" si="121"/>
        <v>0</v>
      </c>
      <c r="AB79" s="55">
        <f t="shared" ref="AB79" si="122">SUM(AB73:AB78)</f>
        <v>4500000</v>
      </c>
      <c r="AC79" s="55">
        <f t="shared" ref="AC79" si="123">SUM(AC73:AC78)</f>
        <v>-363000</v>
      </c>
      <c r="AD79" s="55">
        <f t="shared" si="116"/>
        <v>0</v>
      </c>
      <c r="AE79" s="55">
        <f t="shared" si="116"/>
        <v>0</v>
      </c>
      <c r="AF79" s="55">
        <f t="shared" si="116"/>
        <v>0</v>
      </c>
      <c r="AG79" s="55">
        <f>SUM(AG73:AG78)</f>
        <v>4137000</v>
      </c>
    </row>
    <row r="80" spans="2:33">
      <c r="B80" s="31" t="s">
        <v>279</v>
      </c>
      <c r="C80" s="39"/>
      <c r="D80" s="40"/>
      <c r="E80" s="40"/>
      <c r="F80" s="37"/>
      <c r="G80" s="46"/>
      <c r="H80" s="46"/>
      <c r="I80" s="46"/>
      <c r="J80" s="46"/>
      <c r="K80" s="46"/>
      <c r="L80" s="46"/>
      <c r="M80" s="46"/>
      <c r="N80" s="46"/>
      <c r="O80" s="46"/>
      <c r="P80" s="45"/>
      <c r="Q80" s="35"/>
      <c r="R80" s="12"/>
      <c r="S80" s="12"/>
      <c r="T80" s="12"/>
      <c r="U80" s="12"/>
      <c r="V80" s="28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2:33">
      <c r="B81" s="13" t="s">
        <v>23</v>
      </c>
      <c r="C81" s="38">
        <f>8+44+4</f>
        <v>56</v>
      </c>
      <c r="D81" s="38"/>
      <c r="E81" s="38"/>
      <c r="F81" s="37">
        <f t="shared" ref="F81:F115" si="124">SUM(C81:E81)</f>
        <v>56</v>
      </c>
      <c r="G81" s="46"/>
      <c r="H81" s="46"/>
      <c r="I81" s="46"/>
      <c r="J81" s="46">
        <v>60</v>
      </c>
      <c r="K81" s="46"/>
      <c r="L81" s="46"/>
      <c r="M81" s="46">
        <v>30</v>
      </c>
      <c r="N81" s="46"/>
      <c r="O81" s="46"/>
      <c r="P81" s="45">
        <f t="shared" si="1"/>
        <v>90</v>
      </c>
      <c r="Q81" s="35">
        <f t="shared" ref="Q81:Q86" si="125">F81+P81</f>
        <v>146</v>
      </c>
      <c r="R81" s="12">
        <v>81</v>
      </c>
      <c r="S81" s="12">
        <v>50</v>
      </c>
      <c r="T81" s="12"/>
      <c r="U81" s="12">
        <v>20</v>
      </c>
      <c r="V81" s="28"/>
      <c r="W81" s="12">
        <f t="shared" ref="W81:W86" si="126">Q81-SUM(R81:V81)</f>
        <v>-5</v>
      </c>
      <c r="X81" s="12">
        <f t="shared" ref="X81:X86" si="127">F81-R81-T81</f>
        <v>-25</v>
      </c>
      <c r="Y81" s="12"/>
      <c r="Z81" s="12"/>
      <c r="AA81" s="12">
        <v>0</v>
      </c>
      <c r="AB81" s="12">
        <f>((X81*800000)+(Y81*800000)+(Z81*600000)+(AA81*400000))</f>
        <v>-20000000</v>
      </c>
      <c r="AC81" s="12">
        <f t="shared" ref="AC81:AC85" si="128">W81*33000</f>
        <v>-165000</v>
      </c>
      <c r="AD81" s="12">
        <f>W81*5000</f>
        <v>-25000</v>
      </c>
      <c r="AE81" s="12"/>
      <c r="AF81" s="12"/>
      <c r="AG81" s="12">
        <f t="shared" ref="AG81:AG85" si="129">SUM(AB81:AD81)</f>
        <v>-20190000</v>
      </c>
    </row>
    <row r="82" spans="2:33">
      <c r="B82" s="13" t="s">
        <v>24</v>
      </c>
      <c r="C82" s="38">
        <f>2+40+2+41</f>
        <v>85</v>
      </c>
      <c r="D82" s="38"/>
      <c r="E82" s="38"/>
      <c r="F82" s="37">
        <f t="shared" si="124"/>
        <v>85</v>
      </c>
      <c r="G82" s="46"/>
      <c r="H82" s="46"/>
      <c r="I82" s="46"/>
      <c r="J82" s="46"/>
      <c r="K82" s="46"/>
      <c r="L82" s="46"/>
      <c r="M82" s="46"/>
      <c r="N82" s="46"/>
      <c r="O82" s="46"/>
      <c r="P82" s="45">
        <f t="shared" ref="P82:P103" si="130">SUM(G82:O82)</f>
        <v>0</v>
      </c>
      <c r="Q82" s="35">
        <f t="shared" si="125"/>
        <v>85</v>
      </c>
      <c r="R82" s="12"/>
      <c r="S82" s="12"/>
      <c r="T82" s="12"/>
      <c r="U82" s="12"/>
      <c r="V82" s="28"/>
      <c r="W82" s="12">
        <f t="shared" si="126"/>
        <v>85</v>
      </c>
      <c r="X82" s="12">
        <f t="shared" si="127"/>
        <v>85</v>
      </c>
      <c r="Y82" s="12"/>
      <c r="Z82" s="12"/>
      <c r="AA82" s="12"/>
      <c r="AB82" s="12">
        <f t="shared" ref="AB82:AB85" si="131">((X82*800000)+(Y82*800000)+(Z82*600000)+(AA82*400000))</f>
        <v>68000000</v>
      </c>
      <c r="AC82" s="12">
        <f t="shared" si="128"/>
        <v>2805000</v>
      </c>
      <c r="AD82" s="12">
        <f t="shared" ref="AD82" si="132">W82*5000</f>
        <v>425000</v>
      </c>
      <c r="AE82" s="12"/>
      <c r="AF82" s="12"/>
      <c r="AG82" s="12">
        <f t="shared" si="129"/>
        <v>71230000</v>
      </c>
    </row>
    <row r="83" spans="2:33">
      <c r="B83" s="13" t="s">
        <v>25</v>
      </c>
      <c r="C83" s="38"/>
      <c r="D83" s="38"/>
      <c r="E83" s="38"/>
      <c r="F83" s="37">
        <f t="shared" si="124"/>
        <v>0</v>
      </c>
      <c r="G83" s="46"/>
      <c r="H83" s="46"/>
      <c r="I83" s="46"/>
      <c r="J83" s="46"/>
      <c r="K83" s="46"/>
      <c r="L83" s="46"/>
      <c r="M83" s="46"/>
      <c r="N83" s="46"/>
      <c r="O83" s="46"/>
      <c r="P83" s="45">
        <f t="shared" si="130"/>
        <v>0</v>
      </c>
      <c r="Q83" s="35">
        <f t="shared" si="125"/>
        <v>0</v>
      </c>
      <c r="R83" s="12"/>
      <c r="S83" s="12"/>
      <c r="T83" s="12"/>
      <c r="U83" s="12"/>
      <c r="V83" s="28"/>
      <c r="W83" s="12">
        <f>Q83-SUM(R83:V83)</f>
        <v>0</v>
      </c>
      <c r="X83" s="12">
        <f t="shared" si="127"/>
        <v>0</v>
      </c>
      <c r="Y83" s="12"/>
      <c r="Z83" s="12"/>
      <c r="AA83" s="12"/>
      <c r="AB83" s="12">
        <f t="shared" si="131"/>
        <v>0</v>
      </c>
      <c r="AC83" s="12">
        <f t="shared" si="128"/>
        <v>0</v>
      </c>
      <c r="AD83" s="12">
        <f>(Y83+Z83+AA83)*5000</f>
        <v>0</v>
      </c>
      <c r="AE83" s="12"/>
      <c r="AF83" s="12"/>
      <c r="AG83" s="12">
        <f t="shared" si="129"/>
        <v>0</v>
      </c>
    </row>
    <row r="84" spans="2:33">
      <c r="B84" s="13" t="s">
        <v>26</v>
      </c>
      <c r="C84" s="38"/>
      <c r="D84" s="38"/>
      <c r="E84" s="38"/>
      <c r="F84" s="37">
        <f t="shared" si="124"/>
        <v>0</v>
      </c>
      <c r="G84" s="46"/>
      <c r="H84" s="46"/>
      <c r="I84" s="46"/>
      <c r="J84" s="46"/>
      <c r="K84" s="46"/>
      <c r="L84" s="46"/>
      <c r="M84" s="46"/>
      <c r="N84" s="46"/>
      <c r="O84" s="46"/>
      <c r="P84" s="45">
        <f t="shared" si="130"/>
        <v>0</v>
      </c>
      <c r="Q84" s="35">
        <f t="shared" si="125"/>
        <v>0</v>
      </c>
      <c r="R84" s="12"/>
      <c r="S84" s="12"/>
      <c r="T84" s="12"/>
      <c r="U84" s="12"/>
      <c r="V84" s="28"/>
      <c r="W84" s="12">
        <f t="shared" si="126"/>
        <v>0</v>
      </c>
      <c r="X84" s="12">
        <f t="shared" si="127"/>
        <v>0</v>
      </c>
      <c r="Y84" s="12"/>
      <c r="Z84" s="12"/>
      <c r="AA84" s="12"/>
      <c r="AB84" s="12">
        <f t="shared" si="131"/>
        <v>0</v>
      </c>
      <c r="AC84" s="12">
        <f t="shared" si="128"/>
        <v>0</v>
      </c>
      <c r="AD84" s="12"/>
      <c r="AE84" s="12"/>
      <c r="AF84" s="12"/>
      <c r="AG84" s="12">
        <f t="shared" si="129"/>
        <v>0</v>
      </c>
    </row>
    <row r="85" spans="2:33">
      <c r="B85" s="13" t="s">
        <v>22</v>
      </c>
      <c r="C85" s="38"/>
      <c r="D85" s="38"/>
      <c r="E85" s="38"/>
      <c r="F85" s="37">
        <f t="shared" si="124"/>
        <v>0</v>
      </c>
      <c r="G85" s="46"/>
      <c r="H85" s="46"/>
      <c r="I85" s="46"/>
      <c r="J85" s="46"/>
      <c r="K85" s="46"/>
      <c r="L85" s="46"/>
      <c r="M85" s="46"/>
      <c r="N85" s="46"/>
      <c r="O85" s="46"/>
      <c r="P85" s="45">
        <f t="shared" si="130"/>
        <v>0</v>
      </c>
      <c r="Q85" s="35">
        <f t="shared" si="125"/>
        <v>0</v>
      </c>
      <c r="R85" s="12"/>
      <c r="S85" s="12"/>
      <c r="T85" s="12"/>
      <c r="U85" s="12"/>
      <c r="V85" s="28"/>
      <c r="W85" s="12">
        <f t="shared" si="126"/>
        <v>0</v>
      </c>
      <c r="X85" s="12">
        <f t="shared" si="127"/>
        <v>0</v>
      </c>
      <c r="Y85" s="12"/>
      <c r="Z85" s="12"/>
      <c r="AA85" s="12"/>
      <c r="AB85" s="12">
        <f t="shared" si="131"/>
        <v>0</v>
      </c>
      <c r="AC85" s="12">
        <f t="shared" si="128"/>
        <v>0</v>
      </c>
      <c r="AD85" s="12"/>
      <c r="AE85" s="12">
        <f>W85*30000</f>
        <v>0</v>
      </c>
      <c r="AF85" s="12">
        <f>W85*150000</f>
        <v>0</v>
      </c>
      <c r="AG85" s="12">
        <f t="shared" si="129"/>
        <v>0</v>
      </c>
    </row>
    <row r="86" spans="2:33">
      <c r="B86" s="13" t="s">
        <v>45</v>
      </c>
      <c r="C86" s="38"/>
      <c r="D86" s="38"/>
      <c r="E86" s="38"/>
      <c r="F86" s="37">
        <f t="shared" si="124"/>
        <v>0</v>
      </c>
      <c r="G86" s="46"/>
      <c r="H86" s="46"/>
      <c r="I86" s="46"/>
      <c r="J86" s="46"/>
      <c r="K86" s="46"/>
      <c r="L86" s="46"/>
      <c r="M86" s="46"/>
      <c r="N86" s="46"/>
      <c r="O86" s="46"/>
      <c r="P86" s="45">
        <f t="shared" si="130"/>
        <v>0</v>
      </c>
      <c r="Q86" s="35">
        <f t="shared" si="125"/>
        <v>0</v>
      </c>
      <c r="R86" s="12"/>
      <c r="S86" s="12"/>
      <c r="T86" s="12"/>
      <c r="U86" s="12"/>
      <c r="V86" s="28"/>
      <c r="W86" s="12">
        <f t="shared" si="126"/>
        <v>0</v>
      </c>
      <c r="X86" s="12">
        <f t="shared" si="127"/>
        <v>0</v>
      </c>
      <c r="Y86" s="12"/>
      <c r="Z86" s="12"/>
      <c r="AA86" s="12"/>
      <c r="AB86" s="12"/>
      <c r="AC86" s="12"/>
      <c r="AD86" s="12"/>
      <c r="AE86" s="12"/>
      <c r="AF86" s="12"/>
      <c r="AG86" s="12"/>
    </row>
    <row r="87" spans="2:33">
      <c r="B87" s="55" t="s">
        <v>46</v>
      </c>
      <c r="C87" s="55">
        <f>SUM(C81:C86)</f>
        <v>141</v>
      </c>
      <c r="D87" s="55">
        <f>SUM(D81:D86)</f>
        <v>0</v>
      </c>
      <c r="E87" s="55"/>
      <c r="F87" s="55">
        <f>SUM(F81:F86)</f>
        <v>141</v>
      </c>
      <c r="G87" s="55">
        <f t="shared" ref="G87:AG87" si="133">SUM(G81:G86)</f>
        <v>0</v>
      </c>
      <c r="H87" s="55">
        <f t="shared" si="133"/>
        <v>0</v>
      </c>
      <c r="I87" s="55">
        <f t="shared" si="133"/>
        <v>0</v>
      </c>
      <c r="J87" s="55">
        <f t="shared" si="133"/>
        <v>60</v>
      </c>
      <c r="K87" s="55">
        <f t="shared" si="133"/>
        <v>0</v>
      </c>
      <c r="L87" s="55">
        <f t="shared" si="133"/>
        <v>0</v>
      </c>
      <c r="M87" s="55">
        <f t="shared" si="133"/>
        <v>30</v>
      </c>
      <c r="N87" s="55">
        <f t="shared" si="133"/>
        <v>0</v>
      </c>
      <c r="O87" s="55">
        <f t="shared" si="133"/>
        <v>0</v>
      </c>
      <c r="P87" s="55">
        <f t="shared" si="133"/>
        <v>90</v>
      </c>
      <c r="Q87" s="55">
        <f t="shared" si="133"/>
        <v>231</v>
      </c>
      <c r="R87" s="55">
        <f t="shared" si="133"/>
        <v>81</v>
      </c>
      <c r="S87" s="55">
        <f t="shared" ref="S87" si="134">SUM(S81:S86)</f>
        <v>50</v>
      </c>
      <c r="T87" s="55">
        <f t="shared" ref="T87" si="135">SUM(T81:T86)</f>
        <v>0</v>
      </c>
      <c r="U87" s="55">
        <f t="shared" ref="U87" si="136">SUM(U81:U86)</f>
        <v>20</v>
      </c>
      <c r="V87" s="55">
        <f t="shared" ref="V87" si="137">SUM(V81:V86)</f>
        <v>0</v>
      </c>
      <c r="W87" s="55">
        <f t="shared" ref="W87:AA87" si="138">SUM(W81:W86)</f>
        <v>80</v>
      </c>
      <c r="X87" s="55">
        <f>SUM(X81:X86)</f>
        <v>60</v>
      </c>
      <c r="Y87" s="55">
        <f t="shared" si="138"/>
        <v>0</v>
      </c>
      <c r="Z87" s="55">
        <f t="shared" si="138"/>
        <v>0</v>
      </c>
      <c r="AA87" s="55">
        <f t="shared" si="138"/>
        <v>0</v>
      </c>
      <c r="AB87" s="55">
        <f t="shared" ref="AB87" si="139">SUM(AB81:AB86)</f>
        <v>48000000</v>
      </c>
      <c r="AC87" s="55">
        <f t="shared" ref="AC87" si="140">SUM(AC81:AC86)</f>
        <v>2640000</v>
      </c>
      <c r="AD87" s="55">
        <f t="shared" si="133"/>
        <v>400000</v>
      </c>
      <c r="AE87" s="55">
        <f t="shared" si="133"/>
        <v>0</v>
      </c>
      <c r="AF87" s="55">
        <f t="shared" si="133"/>
        <v>0</v>
      </c>
      <c r="AG87" s="55">
        <f t="shared" si="133"/>
        <v>51040000</v>
      </c>
    </row>
    <row r="88" spans="2:33">
      <c r="B88" s="31" t="s">
        <v>280</v>
      </c>
      <c r="C88" s="39"/>
      <c r="D88" s="40"/>
      <c r="E88" s="40"/>
      <c r="F88" s="37"/>
      <c r="G88" s="46"/>
      <c r="H88" s="46"/>
      <c r="I88" s="46"/>
      <c r="J88" s="46"/>
      <c r="K88" s="46"/>
      <c r="L88" s="46"/>
      <c r="M88" s="46"/>
      <c r="N88" s="46"/>
      <c r="O88" s="46"/>
      <c r="P88" s="45"/>
      <c r="Q88" s="35"/>
      <c r="R88" s="12"/>
      <c r="S88" s="12"/>
      <c r="T88" s="12"/>
      <c r="U88" s="12"/>
      <c r="V88" s="28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2:33">
      <c r="B89" s="13" t="s">
        <v>23</v>
      </c>
      <c r="C89" s="38">
        <v>98</v>
      </c>
      <c r="D89" s="38"/>
      <c r="E89" s="38"/>
      <c r="F89" s="37">
        <f t="shared" si="124"/>
        <v>98</v>
      </c>
      <c r="G89" s="46"/>
      <c r="H89" s="46"/>
      <c r="I89" s="46"/>
      <c r="J89" s="46">
        <f>60+10</f>
        <v>70</v>
      </c>
      <c r="K89" s="46"/>
      <c r="L89" s="46"/>
      <c r="M89" s="46">
        <v>20</v>
      </c>
      <c r="N89" s="46"/>
      <c r="O89" s="46"/>
      <c r="P89" s="45">
        <f t="shared" si="130"/>
        <v>90</v>
      </c>
      <c r="Q89" s="35">
        <f t="shared" ref="Q89:Q94" si="141">F89+P89</f>
        <v>188</v>
      </c>
      <c r="R89" s="12">
        <v>200</v>
      </c>
      <c r="S89" s="12">
        <v>100</v>
      </c>
      <c r="T89" s="12"/>
      <c r="U89" s="12">
        <v>40</v>
      </c>
      <c r="V89" s="28"/>
      <c r="W89" s="12">
        <f t="shared" ref="W89:W94" si="142">Q89-SUM(R89:V89)</f>
        <v>-152</v>
      </c>
      <c r="X89" s="12">
        <f t="shared" ref="X89:X94" si="143">F89-R89-T89</f>
        <v>-102</v>
      </c>
      <c r="Y89" s="12"/>
      <c r="Z89" s="12"/>
      <c r="AA89" s="12"/>
      <c r="AB89" s="12">
        <f>((X89*720000)+(Y89*720000)+(Z89*540000)+(AA89*360000))</f>
        <v>-73440000</v>
      </c>
      <c r="AC89" s="12">
        <f t="shared" ref="AC89:AC94" si="144">W89*33000</f>
        <v>-5016000</v>
      </c>
      <c r="AD89" s="12"/>
      <c r="AE89" s="12"/>
      <c r="AF89" s="12"/>
      <c r="AG89" s="12">
        <f t="shared" ref="AG89:AG94" si="145">SUM(AB89:AD89)</f>
        <v>-78456000</v>
      </c>
    </row>
    <row r="90" spans="2:33">
      <c r="B90" s="13" t="s">
        <v>24</v>
      </c>
      <c r="C90" s="38">
        <f>99+100</f>
        <v>199</v>
      </c>
      <c r="D90" s="38"/>
      <c r="E90" s="38"/>
      <c r="F90" s="37">
        <f t="shared" si="124"/>
        <v>199</v>
      </c>
      <c r="G90" s="46"/>
      <c r="H90" s="46"/>
      <c r="I90" s="46"/>
      <c r="J90" s="46"/>
      <c r="K90" s="46"/>
      <c r="L90" s="46"/>
      <c r="M90" s="46"/>
      <c r="N90" s="46"/>
      <c r="O90" s="46"/>
      <c r="P90" s="45">
        <f t="shared" si="130"/>
        <v>0</v>
      </c>
      <c r="Q90" s="35">
        <f t="shared" si="141"/>
        <v>199</v>
      </c>
      <c r="R90" s="12"/>
      <c r="S90" s="12"/>
      <c r="T90" s="12"/>
      <c r="U90" s="12"/>
      <c r="V90" s="28"/>
      <c r="W90" s="12">
        <f t="shared" si="142"/>
        <v>199</v>
      </c>
      <c r="X90" s="12">
        <f t="shared" si="143"/>
        <v>199</v>
      </c>
      <c r="Y90" s="12"/>
      <c r="Z90" s="12"/>
      <c r="AA90" s="12"/>
      <c r="AB90" s="12">
        <f t="shared" ref="AB90:AB94" si="146">((X90*720000)+(Y90*720000)+(Z90*540000)+(AA90*360000))</f>
        <v>143280000</v>
      </c>
      <c r="AC90" s="12">
        <f t="shared" si="144"/>
        <v>6567000</v>
      </c>
      <c r="AD90" s="12"/>
      <c r="AE90" s="12"/>
      <c r="AF90" s="12"/>
      <c r="AG90" s="12">
        <f t="shared" si="145"/>
        <v>149847000</v>
      </c>
    </row>
    <row r="91" spans="2:33">
      <c r="B91" s="13" t="s">
        <v>25</v>
      </c>
      <c r="C91" s="38"/>
      <c r="D91" s="38"/>
      <c r="E91" s="38"/>
      <c r="F91" s="37">
        <f t="shared" si="124"/>
        <v>0</v>
      </c>
      <c r="G91" s="46"/>
      <c r="H91" s="46"/>
      <c r="I91" s="46"/>
      <c r="J91" s="46"/>
      <c r="K91" s="46"/>
      <c r="L91" s="46"/>
      <c r="M91" s="46"/>
      <c r="N91" s="46"/>
      <c r="O91" s="46"/>
      <c r="P91" s="45">
        <f t="shared" si="130"/>
        <v>0</v>
      </c>
      <c r="Q91" s="35">
        <f t="shared" si="141"/>
        <v>0</v>
      </c>
      <c r="R91" s="12"/>
      <c r="S91" s="12"/>
      <c r="T91" s="12"/>
      <c r="U91" s="12"/>
      <c r="V91" s="28"/>
      <c r="W91" s="12">
        <f t="shared" si="142"/>
        <v>0</v>
      </c>
      <c r="X91" s="12">
        <f t="shared" si="143"/>
        <v>0</v>
      </c>
      <c r="Y91" s="12"/>
      <c r="Z91" s="12">
        <v>10</v>
      </c>
      <c r="AA91" s="12">
        <v>10</v>
      </c>
      <c r="AB91" s="12">
        <f t="shared" si="146"/>
        <v>9000000</v>
      </c>
      <c r="AC91" s="12">
        <f t="shared" si="144"/>
        <v>0</v>
      </c>
      <c r="AD91" s="12">
        <f>(Y91+Z91+AA91)*5000</f>
        <v>100000</v>
      </c>
      <c r="AE91" s="12"/>
      <c r="AF91" s="12"/>
      <c r="AG91" s="12">
        <f t="shared" si="145"/>
        <v>9100000</v>
      </c>
    </row>
    <row r="92" spans="2:33">
      <c r="B92" s="13" t="s">
        <v>26</v>
      </c>
      <c r="C92" s="38"/>
      <c r="D92" s="38"/>
      <c r="E92" s="38"/>
      <c r="F92" s="37">
        <f t="shared" si="124"/>
        <v>0</v>
      </c>
      <c r="G92" s="46"/>
      <c r="H92" s="46"/>
      <c r="I92" s="46"/>
      <c r="J92" s="46"/>
      <c r="K92" s="46"/>
      <c r="L92" s="46"/>
      <c r="M92" s="46"/>
      <c r="N92" s="46"/>
      <c r="O92" s="46"/>
      <c r="P92" s="45">
        <f t="shared" si="130"/>
        <v>0</v>
      </c>
      <c r="Q92" s="35">
        <f t="shared" si="141"/>
        <v>0</v>
      </c>
      <c r="R92" s="12"/>
      <c r="S92" s="12"/>
      <c r="T92" s="12"/>
      <c r="U92" s="12"/>
      <c r="V92" s="28"/>
      <c r="W92" s="12">
        <f t="shared" si="142"/>
        <v>0</v>
      </c>
      <c r="X92" s="12">
        <f t="shared" si="143"/>
        <v>0</v>
      </c>
      <c r="Y92" s="12"/>
      <c r="Z92" s="12"/>
      <c r="AA92" s="12"/>
      <c r="AB92" s="12">
        <f t="shared" si="146"/>
        <v>0</v>
      </c>
      <c r="AC92" s="12">
        <f t="shared" si="144"/>
        <v>0</v>
      </c>
      <c r="AD92" s="12"/>
      <c r="AE92" s="12"/>
      <c r="AF92" s="12"/>
      <c r="AG92" s="12">
        <f t="shared" si="145"/>
        <v>0</v>
      </c>
    </row>
    <row r="93" spans="2:33">
      <c r="B93" s="13" t="s">
        <v>22</v>
      </c>
      <c r="C93" s="38"/>
      <c r="D93" s="38"/>
      <c r="E93" s="38"/>
      <c r="F93" s="37">
        <f t="shared" si="124"/>
        <v>0</v>
      </c>
      <c r="G93" s="46"/>
      <c r="H93" s="46"/>
      <c r="I93" s="46"/>
      <c r="J93" s="46"/>
      <c r="K93" s="46"/>
      <c r="L93" s="46"/>
      <c r="M93" s="46"/>
      <c r="N93" s="46"/>
      <c r="O93" s="46"/>
      <c r="P93" s="45">
        <f t="shared" si="130"/>
        <v>0</v>
      </c>
      <c r="Q93" s="35">
        <f t="shared" si="141"/>
        <v>0</v>
      </c>
      <c r="R93" s="12"/>
      <c r="S93" s="12"/>
      <c r="T93" s="12"/>
      <c r="U93" s="12"/>
      <c r="V93" s="28"/>
      <c r="W93" s="12">
        <f t="shared" si="142"/>
        <v>0</v>
      </c>
      <c r="X93" s="12">
        <f t="shared" si="143"/>
        <v>0</v>
      </c>
      <c r="Y93" s="12"/>
      <c r="Z93" s="12"/>
      <c r="AA93" s="12"/>
      <c r="AB93" s="12">
        <f t="shared" si="146"/>
        <v>0</v>
      </c>
      <c r="AC93" s="12">
        <f t="shared" si="144"/>
        <v>0</v>
      </c>
      <c r="AD93" s="12"/>
      <c r="AE93" s="12">
        <f>W93*30000</f>
        <v>0</v>
      </c>
      <c r="AF93" s="12">
        <f>W93*150000</f>
        <v>0</v>
      </c>
      <c r="AG93" s="12">
        <f t="shared" si="145"/>
        <v>0</v>
      </c>
    </row>
    <row r="94" spans="2:33">
      <c r="B94" s="13" t="s">
        <v>45</v>
      </c>
      <c r="C94" s="38"/>
      <c r="D94" s="38"/>
      <c r="E94" s="38"/>
      <c r="F94" s="37">
        <f t="shared" si="124"/>
        <v>0</v>
      </c>
      <c r="G94" s="46"/>
      <c r="H94" s="46"/>
      <c r="I94" s="46"/>
      <c r="J94" s="46"/>
      <c r="K94" s="46"/>
      <c r="L94" s="46"/>
      <c r="M94" s="46"/>
      <c r="N94" s="46"/>
      <c r="O94" s="46"/>
      <c r="P94" s="45">
        <f t="shared" si="130"/>
        <v>0</v>
      </c>
      <c r="Q94" s="35">
        <f t="shared" si="141"/>
        <v>0</v>
      </c>
      <c r="R94" s="12"/>
      <c r="S94" s="12"/>
      <c r="T94" s="12"/>
      <c r="U94" s="12"/>
      <c r="V94" s="28"/>
      <c r="W94" s="12">
        <f t="shared" si="142"/>
        <v>0</v>
      </c>
      <c r="X94" s="12">
        <f t="shared" si="143"/>
        <v>0</v>
      </c>
      <c r="Y94" s="12"/>
      <c r="Z94" s="12"/>
      <c r="AA94" s="12"/>
      <c r="AB94" s="12">
        <f t="shared" si="146"/>
        <v>0</v>
      </c>
      <c r="AC94" s="12">
        <f t="shared" si="144"/>
        <v>0</v>
      </c>
      <c r="AD94" s="12"/>
      <c r="AE94" s="12"/>
      <c r="AF94" s="12"/>
      <c r="AG94" s="12">
        <f t="shared" si="145"/>
        <v>0</v>
      </c>
    </row>
    <row r="95" spans="2:33">
      <c r="B95" s="55" t="s">
        <v>46</v>
      </c>
      <c r="C95" s="55">
        <f>SUM(C89:C94)</f>
        <v>297</v>
      </c>
      <c r="D95" s="55">
        <f>SUM(D89:D94)</f>
        <v>0</v>
      </c>
      <c r="E95" s="55"/>
      <c r="F95" s="55">
        <f>SUM(F89:F94)</f>
        <v>297</v>
      </c>
      <c r="G95" s="55">
        <f t="shared" ref="G95:AG95" si="147">SUM(G89:G94)</f>
        <v>0</v>
      </c>
      <c r="H95" s="55">
        <f t="shared" si="147"/>
        <v>0</v>
      </c>
      <c r="I95" s="55">
        <f t="shared" si="147"/>
        <v>0</v>
      </c>
      <c r="J95" s="55">
        <f t="shared" si="147"/>
        <v>70</v>
      </c>
      <c r="K95" s="55">
        <f t="shared" si="147"/>
        <v>0</v>
      </c>
      <c r="L95" s="55">
        <f t="shared" si="147"/>
        <v>0</v>
      </c>
      <c r="M95" s="55">
        <f t="shared" si="147"/>
        <v>20</v>
      </c>
      <c r="N95" s="55">
        <f t="shared" si="147"/>
        <v>0</v>
      </c>
      <c r="O95" s="55">
        <f t="shared" si="147"/>
        <v>0</v>
      </c>
      <c r="P95" s="55">
        <f t="shared" si="147"/>
        <v>90</v>
      </c>
      <c r="Q95" s="55">
        <f t="shared" si="147"/>
        <v>387</v>
      </c>
      <c r="R95" s="55">
        <f t="shared" si="147"/>
        <v>200</v>
      </c>
      <c r="S95" s="55">
        <f t="shared" ref="S95" si="148">SUM(S89:S94)</f>
        <v>100</v>
      </c>
      <c r="T95" s="55">
        <f t="shared" ref="T95" si="149">SUM(T89:T94)</f>
        <v>0</v>
      </c>
      <c r="U95" s="55">
        <f t="shared" ref="U95" si="150">SUM(U89:U94)</f>
        <v>40</v>
      </c>
      <c r="V95" s="55">
        <f t="shared" ref="V95" si="151">SUM(V89:V94)</f>
        <v>0</v>
      </c>
      <c r="W95" s="55">
        <f t="shared" ref="W95:AA95" si="152">SUM(W89:W94)</f>
        <v>47</v>
      </c>
      <c r="X95" s="55">
        <f t="shared" si="152"/>
        <v>97</v>
      </c>
      <c r="Y95" s="55">
        <f t="shared" si="152"/>
        <v>0</v>
      </c>
      <c r="Z95" s="55">
        <f t="shared" si="152"/>
        <v>10</v>
      </c>
      <c r="AA95" s="55">
        <f t="shared" si="152"/>
        <v>10</v>
      </c>
      <c r="AB95" s="55">
        <f t="shared" ref="AB95" si="153">SUM(AB89:AB94)</f>
        <v>78840000</v>
      </c>
      <c r="AC95" s="55">
        <f t="shared" ref="AC95" si="154">SUM(AC89:AC94)</f>
        <v>1551000</v>
      </c>
      <c r="AD95" s="55">
        <f t="shared" si="147"/>
        <v>100000</v>
      </c>
      <c r="AE95" s="55">
        <f t="shared" si="147"/>
        <v>0</v>
      </c>
      <c r="AF95" s="55">
        <f t="shared" si="147"/>
        <v>0</v>
      </c>
      <c r="AG95" s="55">
        <f t="shared" si="147"/>
        <v>80491000</v>
      </c>
    </row>
    <row r="96" spans="2:33">
      <c r="B96" s="25" t="s">
        <v>282</v>
      </c>
      <c r="C96" s="25"/>
      <c r="D96" s="25"/>
      <c r="E96" s="25"/>
      <c r="F96" s="25">
        <f>F95+F87+F79+F71+F63</f>
        <v>671</v>
      </c>
      <c r="G96" s="25">
        <f t="shared" ref="G96:AG96" si="155">G95+G87+G79+G71+G63</f>
        <v>10</v>
      </c>
      <c r="H96" s="25">
        <f t="shared" si="155"/>
        <v>0</v>
      </c>
      <c r="I96" s="25">
        <f t="shared" si="155"/>
        <v>0</v>
      </c>
      <c r="J96" s="25">
        <f t="shared" si="155"/>
        <v>165</v>
      </c>
      <c r="K96" s="25">
        <f t="shared" si="155"/>
        <v>0</v>
      </c>
      <c r="L96" s="25">
        <f t="shared" si="155"/>
        <v>0</v>
      </c>
      <c r="M96" s="25">
        <f t="shared" si="155"/>
        <v>120</v>
      </c>
      <c r="N96" s="25">
        <f t="shared" si="155"/>
        <v>0</v>
      </c>
      <c r="O96" s="25">
        <f t="shared" si="155"/>
        <v>0</v>
      </c>
      <c r="P96" s="25">
        <f t="shared" si="155"/>
        <v>295</v>
      </c>
      <c r="Q96" s="25">
        <f t="shared" si="155"/>
        <v>966</v>
      </c>
      <c r="R96" s="25">
        <f t="shared" si="155"/>
        <v>300</v>
      </c>
      <c r="S96" s="25">
        <f t="shared" si="155"/>
        <v>150</v>
      </c>
      <c r="T96" s="25">
        <f t="shared" si="155"/>
        <v>0</v>
      </c>
      <c r="U96" s="25">
        <f t="shared" si="155"/>
        <v>180</v>
      </c>
      <c r="V96" s="25">
        <f t="shared" si="155"/>
        <v>5</v>
      </c>
      <c r="W96" s="25">
        <f t="shared" si="155"/>
        <v>261</v>
      </c>
      <c r="X96" s="25">
        <f t="shared" si="155"/>
        <v>371</v>
      </c>
      <c r="Y96" s="25">
        <f t="shared" si="155"/>
        <v>0</v>
      </c>
      <c r="Z96" s="25">
        <f t="shared" si="155"/>
        <v>20</v>
      </c>
      <c r="AA96" s="25">
        <f t="shared" si="155"/>
        <v>15</v>
      </c>
      <c r="AB96" s="25">
        <f t="shared" si="155"/>
        <v>207080000</v>
      </c>
      <c r="AC96" s="25">
        <f t="shared" si="155"/>
        <v>8613000</v>
      </c>
      <c r="AD96" s="25">
        <f t="shared" si="155"/>
        <v>565000</v>
      </c>
      <c r="AE96" s="25">
        <f t="shared" si="155"/>
        <v>14070000</v>
      </c>
      <c r="AF96" s="25">
        <f t="shared" si="155"/>
        <v>3150000</v>
      </c>
      <c r="AG96" s="25">
        <f t="shared" si="155"/>
        <v>216258000</v>
      </c>
    </row>
    <row r="97" spans="2:33">
      <c r="B97" s="150" t="s">
        <v>42</v>
      </c>
      <c r="C97" s="41"/>
      <c r="D97" s="151"/>
      <c r="E97" s="151"/>
      <c r="F97" s="152"/>
      <c r="G97" s="153"/>
      <c r="H97" s="153"/>
      <c r="I97" s="153"/>
      <c r="J97" s="153"/>
      <c r="K97" s="153"/>
      <c r="L97" s="153"/>
      <c r="M97" s="153"/>
      <c r="N97" s="153"/>
      <c r="O97" s="153"/>
      <c r="P97" s="154"/>
      <c r="Q97" s="155"/>
      <c r="R97" s="156"/>
      <c r="S97" s="156"/>
      <c r="T97" s="156"/>
      <c r="U97" s="156"/>
      <c r="V97" s="157"/>
      <c r="W97" s="156"/>
      <c r="X97" s="156">
        <f t="shared" ref="X97:X103" si="156">F97-R97-T97</f>
        <v>0</v>
      </c>
      <c r="Y97" s="156"/>
      <c r="Z97" s="156"/>
      <c r="AA97" s="156"/>
      <c r="AB97" s="156"/>
      <c r="AC97" s="156"/>
      <c r="AD97" s="156"/>
      <c r="AE97" s="156"/>
      <c r="AF97" s="156"/>
      <c r="AG97" s="156"/>
    </row>
    <row r="98" spans="2:33">
      <c r="B98" s="13" t="s">
        <v>23</v>
      </c>
      <c r="C98" s="38"/>
      <c r="D98" s="38">
        <v>0</v>
      </c>
      <c r="E98" s="38"/>
      <c r="F98" s="37">
        <f t="shared" si="124"/>
        <v>0</v>
      </c>
      <c r="G98" s="46"/>
      <c r="H98" s="46"/>
      <c r="I98" s="46"/>
      <c r="J98" s="46">
        <v>20</v>
      </c>
      <c r="K98" s="46"/>
      <c r="L98" s="46"/>
      <c r="M98" s="46">
        <v>20</v>
      </c>
      <c r="N98" s="46"/>
      <c r="O98" s="46"/>
      <c r="P98" s="45">
        <f t="shared" si="130"/>
        <v>40</v>
      </c>
      <c r="Q98" s="35">
        <f t="shared" ref="Q98:Q103" si="157">F98+P98</f>
        <v>40</v>
      </c>
      <c r="R98" s="12"/>
      <c r="S98" s="12"/>
      <c r="T98" s="12"/>
      <c r="U98" s="12"/>
      <c r="V98" s="28"/>
      <c r="W98" s="12">
        <f t="shared" ref="W98:W103" si="158">Q98-SUM(R98:V98)</f>
        <v>40</v>
      </c>
      <c r="X98" s="12">
        <f t="shared" si="156"/>
        <v>0</v>
      </c>
      <c r="Y98" s="12"/>
      <c r="Z98" s="12">
        <v>20</v>
      </c>
      <c r="AA98" s="12">
        <v>20</v>
      </c>
      <c r="AB98" s="12">
        <f>((X98*500000)+(Y98*500000)+(Z98*375000)+(AA98*250000))</f>
        <v>12500000</v>
      </c>
      <c r="AC98" s="12">
        <f t="shared" ref="AC98:AC102" si="159">W98*33000</f>
        <v>1320000</v>
      </c>
      <c r="AD98" s="12">
        <f>W98*5000</f>
        <v>200000</v>
      </c>
      <c r="AE98" s="12"/>
      <c r="AF98" s="12"/>
      <c r="AG98" s="12">
        <f t="shared" ref="AG98:AG103" si="160">SUM(AB98:AD98)</f>
        <v>14020000</v>
      </c>
    </row>
    <row r="99" spans="2:33">
      <c r="B99" s="13" t="s">
        <v>24</v>
      </c>
      <c r="C99" s="38">
        <f>56+14</f>
        <v>70</v>
      </c>
      <c r="D99" s="38">
        <v>0</v>
      </c>
      <c r="E99" s="38"/>
      <c r="F99" s="37">
        <f t="shared" si="124"/>
        <v>70</v>
      </c>
      <c r="G99" s="46"/>
      <c r="H99" s="46"/>
      <c r="I99" s="46"/>
      <c r="J99" s="46"/>
      <c r="K99" s="46"/>
      <c r="L99" s="46"/>
      <c r="M99" s="46"/>
      <c r="N99" s="46"/>
      <c r="O99" s="46"/>
      <c r="P99" s="45">
        <f t="shared" si="130"/>
        <v>0</v>
      </c>
      <c r="Q99" s="35">
        <f t="shared" si="157"/>
        <v>70</v>
      </c>
      <c r="R99" s="12"/>
      <c r="S99" s="12"/>
      <c r="T99" s="12"/>
      <c r="U99" s="12"/>
      <c r="V99" s="28"/>
      <c r="W99" s="12">
        <f t="shared" si="158"/>
        <v>70</v>
      </c>
      <c r="X99" s="12">
        <f t="shared" si="156"/>
        <v>70</v>
      </c>
      <c r="Y99" s="12"/>
      <c r="Z99" s="12"/>
      <c r="AA99" s="12"/>
      <c r="AB99" s="12">
        <f t="shared" ref="AB99:AB102" si="161">((X99*500000)+(Y99*500000)+(Z99*375000)+(AA99*250000))</f>
        <v>35000000</v>
      </c>
      <c r="AC99" s="12">
        <f t="shared" si="159"/>
        <v>2310000</v>
      </c>
      <c r="AD99" s="12"/>
      <c r="AE99" s="12"/>
      <c r="AF99" s="12"/>
      <c r="AG99" s="12">
        <f t="shared" si="160"/>
        <v>37310000</v>
      </c>
    </row>
    <row r="100" spans="2:33">
      <c r="B100" s="13" t="s">
        <v>25</v>
      </c>
      <c r="C100" s="38"/>
      <c r="D100" s="38">
        <v>0</v>
      </c>
      <c r="E100" s="38"/>
      <c r="F100" s="37">
        <f t="shared" si="124"/>
        <v>0</v>
      </c>
      <c r="G100" s="46"/>
      <c r="H100" s="46"/>
      <c r="I100" s="46"/>
      <c r="J100" s="46"/>
      <c r="K100" s="46"/>
      <c r="L100" s="46"/>
      <c r="M100" s="46"/>
      <c r="N100" s="46"/>
      <c r="O100" s="46"/>
      <c r="P100" s="45">
        <f t="shared" si="130"/>
        <v>0</v>
      </c>
      <c r="Q100" s="35">
        <f t="shared" si="157"/>
        <v>0</v>
      </c>
      <c r="R100" s="12"/>
      <c r="S100" s="12"/>
      <c r="T100" s="12"/>
      <c r="U100" s="12"/>
      <c r="V100" s="28"/>
      <c r="W100" s="12">
        <f t="shared" si="158"/>
        <v>0</v>
      </c>
      <c r="X100" s="12">
        <f t="shared" si="156"/>
        <v>0</v>
      </c>
      <c r="Y100" s="12"/>
      <c r="Z100" s="12"/>
      <c r="AA100" s="12"/>
      <c r="AB100" s="12">
        <f t="shared" si="161"/>
        <v>0</v>
      </c>
      <c r="AC100" s="12">
        <f t="shared" si="159"/>
        <v>0</v>
      </c>
      <c r="AD100" s="12">
        <f>(Y100+Z100+AA100)*5000</f>
        <v>0</v>
      </c>
      <c r="AE100" s="12"/>
      <c r="AF100" s="12"/>
      <c r="AG100" s="12">
        <f t="shared" si="160"/>
        <v>0</v>
      </c>
    </row>
    <row r="101" spans="2:33">
      <c r="B101" s="13" t="s">
        <v>26</v>
      </c>
      <c r="C101" s="38">
        <f>27+3</f>
        <v>30</v>
      </c>
      <c r="D101" s="38">
        <v>0</v>
      </c>
      <c r="E101" s="38"/>
      <c r="F101" s="37">
        <f>SUM(C101:E101)</f>
        <v>30</v>
      </c>
      <c r="G101" s="46"/>
      <c r="H101" s="46"/>
      <c r="I101" s="46"/>
      <c r="J101" s="46"/>
      <c r="K101" s="46"/>
      <c r="L101" s="46"/>
      <c r="M101" s="46"/>
      <c r="N101" s="46"/>
      <c r="O101" s="46"/>
      <c r="P101" s="45">
        <f t="shared" si="130"/>
        <v>0</v>
      </c>
      <c r="Q101" s="35">
        <f t="shared" si="157"/>
        <v>30</v>
      </c>
      <c r="R101" s="12"/>
      <c r="S101" s="12"/>
      <c r="T101" s="12"/>
      <c r="U101" s="12"/>
      <c r="V101" s="28"/>
      <c r="W101" s="12">
        <f t="shared" si="158"/>
        <v>30</v>
      </c>
      <c r="X101" s="12">
        <f t="shared" si="156"/>
        <v>30</v>
      </c>
      <c r="Y101" s="12"/>
      <c r="Z101" s="12"/>
      <c r="AA101" s="12"/>
      <c r="AB101" s="12">
        <f t="shared" si="161"/>
        <v>15000000</v>
      </c>
      <c r="AC101" s="12">
        <f t="shared" si="159"/>
        <v>990000</v>
      </c>
      <c r="AD101" s="12"/>
      <c r="AE101" s="12">
        <f>W101*30000</f>
        <v>900000</v>
      </c>
      <c r="AF101" s="12">
        <f>W101*150000</f>
        <v>4500000</v>
      </c>
      <c r="AG101" s="12">
        <f t="shared" si="160"/>
        <v>15990000</v>
      </c>
    </row>
    <row r="102" spans="2:33">
      <c r="B102" s="13" t="s">
        <v>22</v>
      </c>
      <c r="C102" s="38"/>
      <c r="D102" s="38"/>
      <c r="E102" s="38"/>
      <c r="F102" s="37">
        <f t="shared" si="124"/>
        <v>0</v>
      </c>
      <c r="G102" s="46"/>
      <c r="H102" s="46"/>
      <c r="I102" s="46"/>
      <c r="J102" s="46"/>
      <c r="K102" s="46"/>
      <c r="L102" s="46"/>
      <c r="M102" s="46"/>
      <c r="N102" s="46"/>
      <c r="O102" s="46"/>
      <c r="P102" s="45">
        <f t="shared" si="130"/>
        <v>0</v>
      </c>
      <c r="Q102" s="35">
        <f t="shared" si="157"/>
        <v>0</v>
      </c>
      <c r="R102" s="12"/>
      <c r="S102" s="12"/>
      <c r="T102" s="12"/>
      <c r="U102" s="12"/>
      <c r="V102" s="28"/>
      <c r="W102" s="12">
        <f t="shared" si="158"/>
        <v>0</v>
      </c>
      <c r="X102" s="12">
        <f t="shared" si="156"/>
        <v>0</v>
      </c>
      <c r="Y102" s="12"/>
      <c r="Z102" s="12"/>
      <c r="AA102" s="12"/>
      <c r="AB102" s="12">
        <f t="shared" si="161"/>
        <v>0</v>
      </c>
      <c r="AC102" s="12">
        <f t="shared" si="159"/>
        <v>0</v>
      </c>
      <c r="AD102" s="12"/>
      <c r="AE102" s="12"/>
      <c r="AF102" s="12"/>
      <c r="AG102" s="12">
        <f t="shared" si="160"/>
        <v>0</v>
      </c>
    </row>
    <row r="103" spans="2:33" s="71" customFormat="1">
      <c r="B103" s="22" t="s">
        <v>45</v>
      </c>
      <c r="C103" s="42"/>
      <c r="D103" s="42"/>
      <c r="E103" s="42"/>
      <c r="F103" s="37">
        <f t="shared" si="124"/>
        <v>0</v>
      </c>
      <c r="G103" s="59"/>
      <c r="H103" s="59"/>
      <c r="I103" s="59"/>
      <c r="J103" s="59"/>
      <c r="K103" s="59"/>
      <c r="L103" s="59"/>
      <c r="M103" s="59"/>
      <c r="N103" s="59"/>
      <c r="O103" s="59"/>
      <c r="P103" s="59">
        <f t="shared" si="130"/>
        <v>0</v>
      </c>
      <c r="Q103" s="22">
        <f t="shared" si="157"/>
        <v>0</v>
      </c>
      <c r="R103" s="22"/>
      <c r="S103" s="22"/>
      <c r="T103" s="22"/>
      <c r="U103" s="22"/>
      <c r="V103" s="72"/>
      <c r="W103" s="22">
        <f t="shared" si="158"/>
        <v>0</v>
      </c>
      <c r="X103" s="22">
        <f t="shared" si="156"/>
        <v>0</v>
      </c>
      <c r="Y103" s="22"/>
      <c r="Z103" s="22"/>
      <c r="AA103" s="22"/>
      <c r="AB103" s="22">
        <f>((X103*500000)+(Y103*500000)+(Z103*375000)+(AA103*250000))</f>
        <v>0</v>
      </c>
      <c r="AC103" s="22"/>
      <c r="AD103" s="22"/>
      <c r="AE103" s="22"/>
      <c r="AF103" s="22"/>
      <c r="AG103" s="12">
        <f t="shared" si="160"/>
        <v>0</v>
      </c>
    </row>
    <row r="104" spans="2:33">
      <c r="B104" s="25" t="s">
        <v>77</v>
      </c>
      <c r="C104" s="25">
        <f>SUM(C98:C103)</f>
        <v>100</v>
      </c>
      <c r="D104" s="25">
        <f>SUM(D98:D103)</f>
        <v>0</v>
      </c>
      <c r="E104" s="25"/>
      <c r="F104" s="25">
        <f>SUM(F98:F103)</f>
        <v>100</v>
      </c>
      <c r="G104" s="25">
        <f t="shared" ref="G104:AG104" si="162">SUM(G98:G103)</f>
        <v>0</v>
      </c>
      <c r="H104" s="25">
        <f t="shared" si="162"/>
        <v>0</v>
      </c>
      <c r="I104" s="25">
        <f t="shared" si="162"/>
        <v>0</v>
      </c>
      <c r="J104" s="25">
        <f t="shared" si="162"/>
        <v>20</v>
      </c>
      <c r="K104" s="25">
        <f t="shared" si="162"/>
        <v>0</v>
      </c>
      <c r="L104" s="25">
        <f t="shared" si="162"/>
        <v>0</v>
      </c>
      <c r="M104" s="25">
        <f t="shared" si="162"/>
        <v>20</v>
      </c>
      <c r="N104" s="25">
        <f t="shared" si="162"/>
        <v>0</v>
      </c>
      <c r="O104" s="25">
        <f t="shared" si="162"/>
        <v>0</v>
      </c>
      <c r="P104" s="25">
        <f t="shared" si="162"/>
        <v>40</v>
      </c>
      <c r="Q104" s="25">
        <f t="shared" si="162"/>
        <v>140</v>
      </c>
      <c r="R104" s="25">
        <f t="shared" si="162"/>
        <v>0</v>
      </c>
      <c r="S104" s="25">
        <f t="shared" ref="S104" si="163">SUM(S98:S103)</f>
        <v>0</v>
      </c>
      <c r="T104" s="25">
        <f t="shared" ref="T104" si="164">SUM(T98:T103)</f>
        <v>0</v>
      </c>
      <c r="U104" s="25">
        <f t="shared" ref="U104" si="165">SUM(U98:U103)</f>
        <v>0</v>
      </c>
      <c r="V104" s="25">
        <f t="shared" ref="V104" si="166">SUM(V98:V103)</f>
        <v>0</v>
      </c>
      <c r="W104" s="25">
        <f t="shared" ref="W104:AA104" si="167">SUM(W98:W103)</f>
        <v>140</v>
      </c>
      <c r="X104" s="25">
        <f>SUM(X98:X103)</f>
        <v>100</v>
      </c>
      <c r="Y104" s="25">
        <f t="shared" si="167"/>
        <v>0</v>
      </c>
      <c r="Z104" s="25">
        <f t="shared" si="167"/>
        <v>20</v>
      </c>
      <c r="AA104" s="25">
        <f t="shared" si="167"/>
        <v>20</v>
      </c>
      <c r="AB104" s="25">
        <f t="shared" ref="AB104" si="168">SUM(AB98:AB103)</f>
        <v>62500000</v>
      </c>
      <c r="AC104" s="25">
        <f t="shared" si="162"/>
        <v>4620000</v>
      </c>
      <c r="AD104" s="25">
        <f t="shared" si="162"/>
        <v>200000</v>
      </c>
      <c r="AE104" s="25">
        <f t="shared" si="162"/>
        <v>900000</v>
      </c>
      <c r="AF104" s="25">
        <f t="shared" si="162"/>
        <v>4500000</v>
      </c>
      <c r="AG104" s="25">
        <f t="shared" si="162"/>
        <v>67320000</v>
      </c>
    </row>
    <row r="105" spans="2:33">
      <c r="B105" s="13" t="s">
        <v>283</v>
      </c>
      <c r="C105" s="41"/>
      <c r="D105" s="38"/>
      <c r="E105" s="38"/>
      <c r="F105" s="37"/>
      <c r="G105" s="46"/>
      <c r="H105" s="46"/>
      <c r="I105" s="46"/>
      <c r="J105" s="46"/>
      <c r="K105" s="46"/>
      <c r="L105" s="46"/>
      <c r="M105" s="46"/>
      <c r="N105" s="46"/>
      <c r="O105" s="46"/>
      <c r="P105" s="45"/>
      <c r="Q105" s="35"/>
      <c r="R105" s="12"/>
      <c r="S105" s="12"/>
      <c r="T105" s="12"/>
      <c r="U105" s="12"/>
      <c r="V105" s="28"/>
      <c r="W105" s="12"/>
      <c r="X105" s="12">
        <f t="shared" ref="X105:X111" si="169">F105-R105-T105</f>
        <v>0</v>
      </c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2:33">
      <c r="B106" s="13" t="s">
        <v>23</v>
      </c>
      <c r="C106" s="38">
        <v>42</v>
      </c>
      <c r="D106" s="38">
        <v>109</v>
      </c>
      <c r="E106" s="38"/>
      <c r="F106" s="37">
        <f t="shared" si="124"/>
        <v>151</v>
      </c>
      <c r="G106" s="46"/>
      <c r="H106" s="46">
        <v>30</v>
      </c>
      <c r="I106" s="46"/>
      <c r="J106" s="46">
        <v>50</v>
      </c>
      <c r="K106" s="46">
        <v>40</v>
      </c>
      <c r="L106" s="46"/>
      <c r="M106" s="46">
        <v>20</v>
      </c>
      <c r="N106" s="46">
        <v>60</v>
      </c>
      <c r="O106" s="46"/>
      <c r="P106" s="45">
        <f>SUM(G106:O106)</f>
        <v>200</v>
      </c>
      <c r="Q106" s="35">
        <f t="shared" ref="Q106:Q111" si="170">F106+P106</f>
        <v>351</v>
      </c>
      <c r="R106" s="12"/>
      <c r="S106" s="12"/>
      <c r="T106" s="12">
        <v>24</v>
      </c>
      <c r="U106" s="12">
        <v>0</v>
      </c>
      <c r="V106" s="28"/>
      <c r="W106" s="12">
        <f>Q106-SUM(R106:V106)</f>
        <v>327</v>
      </c>
      <c r="X106" s="12">
        <f>F106-R106-T106</f>
        <v>127</v>
      </c>
      <c r="Y106" s="12">
        <v>30</v>
      </c>
      <c r="Z106" s="12">
        <v>70</v>
      </c>
      <c r="AA106" s="12">
        <v>70</v>
      </c>
      <c r="AB106" s="12">
        <f>((X106*375000)+(Y106*375000)+(Z106*250000)+(AA106*125000))</f>
        <v>85125000</v>
      </c>
      <c r="AC106" s="12">
        <f>W106*33000</f>
        <v>10791000</v>
      </c>
      <c r="AD106" s="12">
        <f>W106*5000</f>
        <v>1635000</v>
      </c>
      <c r="AE106" s="12"/>
      <c r="AF106" s="12"/>
      <c r="AG106" s="12">
        <f t="shared" ref="AG106:AG111" si="171">SUM(AB106:AD106)</f>
        <v>97551000</v>
      </c>
    </row>
    <row r="107" spans="2:33">
      <c r="B107" s="13" t="s">
        <v>24</v>
      </c>
      <c r="C107" s="38">
        <v>20</v>
      </c>
      <c r="D107" s="38">
        <v>96</v>
      </c>
      <c r="E107" s="38"/>
      <c r="F107" s="37">
        <f t="shared" si="124"/>
        <v>116</v>
      </c>
      <c r="G107" s="46"/>
      <c r="H107" s="46"/>
      <c r="I107" s="46"/>
      <c r="J107" s="46"/>
      <c r="K107" s="46"/>
      <c r="L107" s="46"/>
      <c r="M107" s="46"/>
      <c r="N107" s="46"/>
      <c r="O107" s="46"/>
      <c r="P107" s="45">
        <f t="shared" ref="P107:P111" si="172">SUM(G107:O107)</f>
        <v>0</v>
      </c>
      <c r="Q107" s="35">
        <f t="shared" si="170"/>
        <v>116</v>
      </c>
      <c r="R107" s="12"/>
      <c r="S107" s="12"/>
      <c r="T107" s="12">
        <v>151</v>
      </c>
      <c r="U107" s="12"/>
      <c r="V107" s="28"/>
      <c r="W107" s="12">
        <f t="shared" ref="W107:W111" si="173">Q107-SUM(R107:V107)</f>
        <v>-35</v>
      </c>
      <c r="X107" s="12">
        <f t="shared" si="169"/>
        <v>-35</v>
      </c>
      <c r="Y107" s="12"/>
      <c r="Z107" s="12"/>
      <c r="AA107" s="12"/>
      <c r="AB107" s="12">
        <f t="shared" ref="AB107:AB111" si="174">((X107*375000)+(Y107*375000)+(Z107*250000)+(AA107*125000))</f>
        <v>-13125000</v>
      </c>
      <c r="AC107" s="12">
        <f t="shared" ref="AC107:AC109" si="175">W107*33000</f>
        <v>-1155000</v>
      </c>
      <c r="AD107" s="12"/>
      <c r="AE107" s="12"/>
      <c r="AF107" s="12"/>
      <c r="AG107" s="12">
        <f t="shared" si="171"/>
        <v>-14280000</v>
      </c>
    </row>
    <row r="108" spans="2:33">
      <c r="B108" s="13" t="s">
        <v>25</v>
      </c>
      <c r="C108" s="38">
        <f>52+113</f>
        <v>165</v>
      </c>
      <c r="D108" s="38">
        <f>101+21</f>
        <v>122</v>
      </c>
      <c r="E108" s="38"/>
      <c r="F108" s="37">
        <f t="shared" si="124"/>
        <v>287</v>
      </c>
      <c r="G108" s="46"/>
      <c r="H108" s="46"/>
      <c r="I108" s="46"/>
      <c r="J108" s="46"/>
      <c r="K108" s="46"/>
      <c r="L108" s="46"/>
      <c r="M108" s="46"/>
      <c r="N108" s="46"/>
      <c r="O108" s="46"/>
      <c r="P108" s="45">
        <f t="shared" si="172"/>
        <v>0</v>
      </c>
      <c r="Q108" s="35">
        <f t="shared" si="170"/>
        <v>287</v>
      </c>
      <c r="R108" s="12"/>
      <c r="S108" s="12"/>
      <c r="T108" s="12"/>
      <c r="U108" s="12"/>
      <c r="V108" s="28"/>
      <c r="W108" s="12">
        <f t="shared" si="173"/>
        <v>287</v>
      </c>
      <c r="X108" s="12">
        <f t="shared" si="169"/>
        <v>287</v>
      </c>
      <c r="Y108" s="12"/>
      <c r="Z108" s="12"/>
      <c r="AA108" s="12"/>
      <c r="AB108" s="12">
        <f t="shared" si="174"/>
        <v>107625000</v>
      </c>
      <c r="AC108" s="12">
        <f t="shared" si="175"/>
        <v>9471000</v>
      </c>
      <c r="AD108" s="12"/>
      <c r="AE108" s="12"/>
      <c r="AF108" s="12"/>
      <c r="AG108" s="12">
        <f t="shared" si="171"/>
        <v>117096000</v>
      </c>
    </row>
    <row r="109" spans="2:33">
      <c r="B109" s="13" t="s">
        <v>26</v>
      </c>
      <c r="C109" s="38"/>
      <c r="D109" s="38">
        <v>76</v>
      </c>
      <c r="E109" s="38"/>
      <c r="F109" s="37">
        <f t="shared" si="124"/>
        <v>76</v>
      </c>
      <c r="G109" s="46"/>
      <c r="H109" s="46"/>
      <c r="I109" s="46"/>
      <c r="J109" s="46"/>
      <c r="K109" s="46"/>
      <c r="L109" s="46"/>
      <c r="M109" s="46"/>
      <c r="N109" s="46"/>
      <c r="O109" s="46"/>
      <c r="P109" s="45">
        <f t="shared" si="172"/>
        <v>0</v>
      </c>
      <c r="Q109" s="35">
        <f t="shared" si="170"/>
        <v>76</v>
      </c>
      <c r="R109" s="12"/>
      <c r="S109" s="12"/>
      <c r="T109" s="12"/>
      <c r="U109" s="12"/>
      <c r="V109" s="28"/>
      <c r="W109" s="12">
        <f t="shared" si="173"/>
        <v>76</v>
      </c>
      <c r="X109" s="12">
        <f t="shared" si="169"/>
        <v>76</v>
      </c>
      <c r="Y109" s="12"/>
      <c r="Z109" s="12"/>
      <c r="AA109" s="12"/>
      <c r="AB109" s="12">
        <f t="shared" si="174"/>
        <v>28500000</v>
      </c>
      <c r="AC109" s="12">
        <f t="shared" si="175"/>
        <v>2508000</v>
      </c>
      <c r="AD109" s="12"/>
      <c r="AE109" s="12">
        <f>W109*30000</f>
        <v>2280000</v>
      </c>
      <c r="AF109" s="12"/>
      <c r="AG109" s="12">
        <f t="shared" si="171"/>
        <v>31008000</v>
      </c>
    </row>
    <row r="110" spans="2:33" s="1" customFormat="1">
      <c r="B110" s="13" t="s">
        <v>22</v>
      </c>
      <c r="C110" s="37"/>
      <c r="D110" s="37">
        <v>87</v>
      </c>
      <c r="E110" s="37"/>
      <c r="F110" s="37">
        <f t="shared" si="124"/>
        <v>87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>
        <f t="shared" si="172"/>
        <v>0</v>
      </c>
      <c r="Q110" s="13">
        <f t="shared" si="170"/>
        <v>87</v>
      </c>
      <c r="R110" s="13"/>
      <c r="S110" s="13"/>
      <c r="T110" s="13"/>
      <c r="U110" s="13"/>
      <c r="V110" s="27"/>
      <c r="W110" s="13">
        <f t="shared" si="173"/>
        <v>87</v>
      </c>
      <c r="X110" s="13">
        <f t="shared" si="169"/>
        <v>87</v>
      </c>
      <c r="Y110" s="13"/>
      <c r="Z110" s="13"/>
      <c r="AA110" s="13"/>
      <c r="AB110" s="13">
        <v>0</v>
      </c>
      <c r="AC110" s="13"/>
      <c r="AD110" s="13"/>
      <c r="AE110" s="13"/>
      <c r="AF110" s="13">
        <f>W110*150000</f>
        <v>13050000</v>
      </c>
      <c r="AG110" s="13">
        <f t="shared" si="171"/>
        <v>0</v>
      </c>
    </row>
    <row r="111" spans="2:33" s="1" customFormat="1">
      <c r="B111" s="13" t="s">
        <v>45</v>
      </c>
      <c r="C111" s="37"/>
      <c r="D111" s="37"/>
      <c r="E111" s="37"/>
      <c r="F111" s="37">
        <f t="shared" si="124"/>
        <v>0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>
        <f t="shared" si="172"/>
        <v>0</v>
      </c>
      <c r="Q111" s="13">
        <f t="shared" si="170"/>
        <v>0</v>
      </c>
      <c r="R111" s="13"/>
      <c r="S111" s="13"/>
      <c r="T111" s="13"/>
      <c r="U111" s="13"/>
      <c r="V111" s="27"/>
      <c r="W111" s="13">
        <f t="shared" si="173"/>
        <v>0</v>
      </c>
      <c r="X111" s="13">
        <f t="shared" si="169"/>
        <v>0</v>
      </c>
      <c r="Y111" s="13"/>
      <c r="Z111" s="13"/>
      <c r="AA111" s="13"/>
      <c r="AB111" s="13">
        <f t="shared" si="174"/>
        <v>0</v>
      </c>
      <c r="AC111" s="13"/>
      <c r="AD111" s="13"/>
      <c r="AE111" s="13"/>
      <c r="AF111" s="13"/>
      <c r="AG111" s="13">
        <f t="shared" si="171"/>
        <v>0</v>
      </c>
    </row>
    <row r="112" spans="2:33">
      <c r="B112" s="25" t="s">
        <v>284</v>
      </c>
      <c r="C112" s="25">
        <f>SUM(C106:C111)</f>
        <v>227</v>
      </c>
      <c r="D112" s="25">
        <f>SUM(D106:D111)</f>
        <v>490</v>
      </c>
      <c r="E112" s="25"/>
      <c r="F112" s="25">
        <f>SUM(F106:F111)</f>
        <v>717</v>
      </c>
      <c r="G112" s="25">
        <f t="shared" ref="G112:AG112" si="176">SUM(G106:G111)</f>
        <v>0</v>
      </c>
      <c r="H112" s="25">
        <f t="shared" si="176"/>
        <v>30</v>
      </c>
      <c r="I112" s="25">
        <f t="shared" si="176"/>
        <v>0</v>
      </c>
      <c r="J112" s="25">
        <f t="shared" si="176"/>
        <v>50</v>
      </c>
      <c r="K112" s="25">
        <f t="shared" si="176"/>
        <v>40</v>
      </c>
      <c r="L112" s="25">
        <f t="shared" si="176"/>
        <v>0</v>
      </c>
      <c r="M112" s="25">
        <f t="shared" si="176"/>
        <v>20</v>
      </c>
      <c r="N112" s="25">
        <f t="shared" si="176"/>
        <v>60</v>
      </c>
      <c r="O112" s="25">
        <f t="shared" si="176"/>
        <v>0</v>
      </c>
      <c r="P112" s="25">
        <f t="shared" si="176"/>
        <v>200</v>
      </c>
      <c r="Q112" s="25">
        <f t="shared" si="176"/>
        <v>917</v>
      </c>
      <c r="R112" s="25">
        <f t="shared" si="176"/>
        <v>0</v>
      </c>
      <c r="S112" s="25">
        <f t="shared" ref="S112" si="177">SUM(S106:S111)</f>
        <v>0</v>
      </c>
      <c r="T112" s="25">
        <f t="shared" ref="T112" si="178">SUM(T106:T111)</f>
        <v>175</v>
      </c>
      <c r="U112" s="25">
        <f t="shared" ref="U112" si="179">SUM(U106:U111)</f>
        <v>0</v>
      </c>
      <c r="V112" s="25">
        <f t="shared" ref="V112" si="180">SUM(V106:V111)</f>
        <v>0</v>
      </c>
      <c r="W112" s="25">
        <f t="shared" ref="W112:AA112" si="181">SUM(W106:W111)</f>
        <v>742</v>
      </c>
      <c r="X112" s="25">
        <f t="shared" si="181"/>
        <v>542</v>
      </c>
      <c r="Y112" s="25">
        <f t="shared" si="181"/>
        <v>30</v>
      </c>
      <c r="Z112" s="25">
        <f t="shared" si="181"/>
        <v>70</v>
      </c>
      <c r="AA112" s="25">
        <f t="shared" si="181"/>
        <v>70</v>
      </c>
      <c r="AB112" s="25">
        <f t="shared" ref="AB112" si="182">SUM(AB106:AB111)</f>
        <v>208125000</v>
      </c>
      <c r="AC112" s="25">
        <f>SUM(AC106:AC111)</f>
        <v>21615000</v>
      </c>
      <c r="AD112" s="25">
        <f t="shared" si="176"/>
        <v>1635000</v>
      </c>
      <c r="AE112" s="25">
        <f t="shared" si="176"/>
        <v>2280000</v>
      </c>
      <c r="AF112" s="25">
        <f t="shared" si="176"/>
        <v>13050000</v>
      </c>
      <c r="AG112" s="25">
        <f t="shared" si="176"/>
        <v>231375000</v>
      </c>
    </row>
    <row r="113" spans="2:34">
      <c r="B113" s="13" t="s">
        <v>47</v>
      </c>
      <c r="C113" s="38"/>
      <c r="D113" s="38"/>
      <c r="E113" s="38"/>
      <c r="F113" s="37"/>
      <c r="G113" s="46"/>
      <c r="H113" s="46"/>
      <c r="I113" s="46"/>
      <c r="J113" s="46"/>
      <c r="K113" s="46"/>
      <c r="L113" s="46"/>
      <c r="M113" s="46"/>
      <c r="N113" s="46"/>
      <c r="O113" s="46"/>
      <c r="P113" s="45"/>
      <c r="Q113" s="35"/>
      <c r="R113" s="12"/>
      <c r="S113" s="12"/>
      <c r="T113" s="12"/>
      <c r="U113" s="12"/>
      <c r="V113" s="28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2:34" ht="30.75" customHeight="1">
      <c r="B114" s="13" t="s">
        <v>72</v>
      </c>
      <c r="C114" s="58" t="s">
        <v>48</v>
      </c>
      <c r="D114" s="58" t="s">
        <v>49</v>
      </c>
      <c r="E114" s="38"/>
      <c r="F114" s="37"/>
      <c r="G114" s="58" t="s">
        <v>48</v>
      </c>
      <c r="H114" s="58" t="s">
        <v>49</v>
      </c>
      <c r="I114" s="46"/>
      <c r="J114" s="58" t="s">
        <v>48</v>
      </c>
      <c r="K114" s="58" t="s">
        <v>49</v>
      </c>
      <c r="L114" s="46"/>
      <c r="M114" s="58" t="s">
        <v>48</v>
      </c>
      <c r="N114" s="58" t="s">
        <v>49</v>
      </c>
      <c r="O114" s="46"/>
      <c r="P114" s="45"/>
      <c r="Q114" s="35"/>
      <c r="R114" s="12"/>
      <c r="S114" s="12"/>
      <c r="T114" s="12"/>
      <c r="U114" s="12"/>
      <c r="V114" s="28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2:34">
      <c r="B115" s="13" t="s">
        <v>50</v>
      </c>
      <c r="C115" s="38">
        <v>28</v>
      </c>
      <c r="D115" s="38">
        <v>6</v>
      </c>
      <c r="E115" s="38"/>
      <c r="F115" s="37">
        <f t="shared" si="124"/>
        <v>34</v>
      </c>
      <c r="G115" s="46">
        <v>20</v>
      </c>
      <c r="H115" s="46">
        <v>10</v>
      </c>
      <c r="I115" s="46"/>
      <c r="J115" s="46"/>
      <c r="K115" s="46"/>
      <c r="L115" s="46"/>
      <c r="M115" s="46">
        <v>20</v>
      </c>
      <c r="N115" s="46">
        <v>0</v>
      </c>
      <c r="O115" s="46"/>
      <c r="P115" s="45">
        <f>SUM(G115:O115)</f>
        <v>50</v>
      </c>
      <c r="Q115" s="35">
        <f>F115+P115</f>
        <v>84</v>
      </c>
      <c r="R115" s="12"/>
      <c r="S115" s="12"/>
      <c r="T115" s="12"/>
      <c r="U115" s="12"/>
      <c r="V115" s="28"/>
      <c r="W115" s="12">
        <f t="shared" ref="W115:W116" si="183">Q115-SUM(R115:V115)</f>
        <v>84</v>
      </c>
      <c r="X115" s="12">
        <f>F115-R115-T115</f>
        <v>34</v>
      </c>
      <c r="Y115" s="12"/>
      <c r="Z115" s="12">
        <v>60</v>
      </c>
      <c r="AA115" s="12">
        <v>30</v>
      </c>
      <c r="AB115" s="12">
        <f>(C115*420000)+(D115*427000)+(G115*420000)+(H115*427000)+(J115*420000)+(K115*427000)+(M115*140000)</f>
        <v>29792000</v>
      </c>
      <c r="AC115" s="12">
        <f>W115*38000</f>
        <v>3192000</v>
      </c>
      <c r="AD115" s="12">
        <f>(Y115+Z115+AA115)*5000</f>
        <v>450000</v>
      </c>
      <c r="AE115" s="12">
        <f>W115*60000</f>
        <v>5040000</v>
      </c>
      <c r="AF115" s="12"/>
      <c r="AG115" s="12">
        <f t="shared" ref="AG115" si="184">SUM(AB115:AD115)</f>
        <v>33434000</v>
      </c>
    </row>
    <row r="116" spans="2:34">
      <c r="B116" s="13" t="s">
        <v>22</v>
      </c>
      <c r="C116" s="38"/>
      <c r="D116" s="38"/>
      <c r="E116" s="38"/>
      <c r="F116" s="37"/>
      <c r="G116" s="46"/>
      <c r="H116" s="46"/>
      <c r="I116" s="46"/>
      <c r="J116" s="46"/>
      <c r="K116" s="46"/>
      <c r="L116" s="46"/>
      <c r="M116" s="46"/>
      <c r="N116" s="46"/>
      <c r="O116" s="46"/>
      <c r="P116" s="45"/>
      <c r="Q116" s="35"/>
      <c r="R116" s="12"/>
      <c r="S116" s="12"/>
      <c r="T116" s="12"/>
      <c r="U116" s="12"/>
      <c r="V116" s="28"/>
      <c r="W116" s="12">
        <f t="shared" si="183"/>
        <v>0</v>
      </c>
      <c r="X116" s="12">
        <f>F116-R116-T116</f>
        <v>0</v>
      </c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2:34">
      <c r="B117" s="52" t="s">
        <v>71</v>
      </c>
      <c r="C117" s="51"/>
      <c r="D117" s="51"/>
      <c r="E117" s="51"/>
      <c r="F117" s="51">
        <f>SUM(F115:F116)</f>
        <v>34</v>
      </c>
      <c r="G117" s="51">
        <f t="shared" ref="G117:AG117" si="185">SUM(G115:G116)</f>
        <v>20</v>
      </c>
      <c r="H117" s="51">
        <f t="shared" si="185"/>
        <v>10</v>
      </c>
      <c r="I117" s="51">
        <f t="shared" si="185"/>
        <v>0</v>
      </c>
      <c r="J117" s="51">
        <f t="shared" si="185"/>
        <v>0</v>
      </c>
      <c r="K117" s="51">
        <f t="shared" si="185"/>
        <v>0</v>
      </c>
      <c r="L117" s="51">
        <f t="shared" si="185"/>
        <v>0</v>
      </c>
      <c r="M117" s="51">
        <f t="shared" si="185"/>
        <v>20</v>
      </c>
      <c r="N117" s="51">
        <f t="shared" si="185"/>
        <v>0</v>
      </c>
      <c r="O117" s="51">
        <f t="shared" si="185"/>
        <v>0</v>
      </c>
      <c r="P117" s="51">
        <f t="shared" si="185"/>
        <v>50</v>
      </c>
      <c r="Q117" s="51">
        <f t="shared" si="185"/>
        <v>84</v>
      </c>
      <c r="R117" s="51">
        <f t="shared" si="185"/>
        <v>0</v>
      </c>
      <c r="S117" s="51">
        <f t="shared" ref="S117" si="186">SUM(S115:S116)</f>
        <v>0</v>
      </c>
      <c r="T117" s="51">
        <f t="shared" ref="T117" si="187">SUM(T115:T116)</f>
        <v>0</v>
      </c>
      <c r="U117" s="51">
        <f t="shared" ref="U117" si="188">SUM(U115:U116)</f>
        <v>0</v>
      </c>
      <c r="V117" s="51">
        <f t="shared" ref="V117" si="189">SUM(V115:V116)</f>
        <v>0</v>
      </c>
      <c r="W117" s="51">
        <f>SUM(W115:W116)</f>
        <v>84</v>
      </c>
      <c r="X117" s="51">
        <f>SUM(X115:X116)</f>
        <v>34</v>
      </c>
      <c r="Y117" s="51">
        <f t="shared" ref="Y117:AA117" si="190">SUM(Y115:Y116)</f>
        <v>0</v>
      </c>
      <c r="Z117" s="51">
        <f t="shared" si="190"/>
        <v>60</v>
      </c>
      <c r="AA117" s="51">
        <f t="shared" si="190"/>
        <v>30</v>
      </c>
      <c r="AB117" s="51">
        <f t="shared" ref="AB117" si="191">SUM(AB115:AB116)</f>
        <v>29792000</v>
      </c>
      <c r="AC117" s="51">
        <f t="shared" ref="AC117" si="192">SUM(AC115:AC116)</f>
        <v>3192000</v>
      </c>
      <c r="AD117" s="51">
        <f t="shared" si="185"/>
        <v>450000</v>
      </c>
      <c r="AE117" s="51">
        <f t="shared" si="185"/>
        <v>5040000</v>
      </c>
      <c r="AF117" s="51">
        <f t="shared" si="185"/>
        <v>0</v>
      </c>
      <c r="AG117" s="51">
        <f t="shared" si="185"/>
        <v>33434000</v>
      </c>
    </row>
    <row r="118" spans="2:34">
      <c r="B118" s="13" t="s">
        <v>73</v>
      </c>
      <c r="C118" s="38"/>
      <c r="D118" s="38"/>
      <c r="E118" s="38"/>
      <c r="F118" s="37"/>
      <c r="G118" s="46"/>
      <c r="H118" s="46"/>
      <c r="I118" s="46"/>
      <c r="J118" s="46"/>
      <c r="K118" s="46"/>
      <c r="L118" s="46"/>
      <c r="M118" s="46"/>
      <c r="N118" s="46"/>
      <c r="O118" s="46"/>
      <c r="P118" s="45"/>
      <c r="Q118" s="35"/>
      <c r="R118" s="12"/>
      <c r="S118" s="12"/>
      <c r="T118" s="12"/>
      <c r="U118" s="12"/>
      <c r="V118" s="28"/>
      <c r="W118" s="12"/>
      <c r="X118" s="12">
        <f>F118-R118-T118</f>
        <v>0</v>
      </c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2:34">
      <c r="B119" s="13" t="s">
        <v>88</v>
      </c>
      <c r="C119" s="38"/>
      <c r="D119" s="38"/>
      <c r="E119" s="38"/>
      <c r="F119" s="37"/>
      <c r="G119" s="46"/>
      <c r="H119" s="46"/>
      <c r="I119" s="46"/>
      <c r="J119" s="46"/>
      <c r="K119" s="46">
        <v>50</v>
      </c>
      <c r="L119" s="46"/>
      <c r="M119" s="46">
        <v>0</v>
      </c>
      <c r="N119" s="46">
        <v>0</v>
      </c>
      <c r="O119" s="46"/>
      <c r="P119" s="45">
        <f>SUM(G119:O119)</f>
        <v>50</v>
      </c>
      <c r="Q119" s="35">
        <f>F119+P119</f>
        <v>50</v>
      </c>
      <c r="R119" s="12"/>
      <c r="S119" s="12"/>
      <c r="T119" s="12"/>
      <c r="U119" s="12"/>
      <c r="V119" s="28"/>
      <c r="W119" s="12">
        <f t="shared" ref="W119" si="193">Q119-SUM(R119:V119)</f>
        <v>50</v>
      </c>
      <c r="X119" s="12">
        <f>F119-R119-T119</f>
        <v>0</v>
      </c>
      <c r="Y119" s="12"/>
      <c r="Z119" s="12"/>
      <c r="AA119" s="12"/>
      <c r="AB119" s="12">
        <f>W119*300000</f>
        <v>15000000</v>
      </c>
      <c r="AC119" s="12">
        <f>W119*50000</f>
        <v>2500000</v>
      </c>
      <c r="AD119" s="12">
        <f>W119*5000</f>
        <v>250000</v>
      </c>
      <c r="AE119" s="12"/>
      <c r="AF119" s="12"/>
      <c r="AG119" s="12"/>
    </row>
    <row r="120" spans="2:34">
      <c r="B120" s="52" t="s">
        <v>78</v>
      </c>
      <c r="C120" s="51"/>
      <c r="D120" s="51"/>
      <c r="E120" s="51"/>
      <c r="F120" s="25">
        <f>SUM(F118:F119)</f>
        <v>0</v>
      </c>
      <c r="G120" s="25">
        <f t="shared" ref="G120:AG120" si="194">SUM(G118:G119)</f>
        <v>0</v>
      </c>
      <c r="H120" s="25">
        <f t="shared" si="194"/>
        <v>0</v>
      </c>
      <c r="I120" s="25">
        <f t="shared" si="194"/>
        <v>0</v>
      </c>
      <c r="J120" s="25">
        <f t="shared" si="194"/>
        <v>0</v>
      </c>
      <c r="K120" s="25">
        <f t="shared" si="194"/>
        <v>50</v>
      </c>
      <c r="L120" s="25">
        <f t="shared" si="194"/>
        <v>0</v>
      </c>
      <c r="M120" s="25">
        <f t="shared" si="194"/>
        <v>0</v>
      </c>
      <c r="N120" s="25">
        <f t="shared" si="194"/>
        <v>0</v>
      </c>
      <c r="O120" s="25">
        <f t="shared" si="194"/>
        <v>0</v>
      </c>
      <c r="P120" s="25">
        <f t="shared" si="194"/>
        <v>50</v>
      </c>
      <c r="Q120" s="25">
        <f t="shared" si="194"/>
        <v>50</v>
      </c>
      <c r="R120" s="25">
        <f t="shared" si="194"/>
        <v>0</v>
      </c>
      <c r="S120" s="25">
        <f t="shared" ref="S120" si="195">SUM(S118:S119)</f>
        <v>0</v>
      </c>
      <c r="T120" s="25">
        <f t="shared" ref="T120" si="196">SUM(T118:T119)</f>
        <v>0</v>
      </c>
      <c r="U120" s="25">
        <f t="shared" ref="U120" si="197">SUM(U118:U119)</f>
        <v>0</v>
      </c>
      <c r="V120" s="25">
        <f t="shared" ref="V120" si="198">SUM(V118:V119)</f>
        <v>0</v>
      </c>
      <c r="W120" s="25">
        <f t="shared" ref="W120:X120" si="199">SUM(W118:W119)</f>
        <v>50</v>
      </c>
      <c r="X120" s="25">
        <f t="shared" si="199"/>
        <v>0</v>
      </c>
      <c r="Y120" s="25"/>
      <c r="Z120" s="25"/>
      <c r="AA120" s="25"/>
      <c r="AB120" s="25">
        <f t="shared" ref="AB120" si="200">SUM(AB118:AB119)</f>
        <v>15000000</v>
      </c>
      <c r="AC120" s="25">
        <f t="shared" si="194"/>
        <v>2500000</v>
      </c>
      <c r="AD120" s="25">
        <f t="shared" si="194"/>
        <v>250000</v>
      </c>
      <c r="AE120" s="25">
        <f t="shared" si="194"/>
        <v>0</v>
      </c>
      <c r="AF120" s="25">
        <f t="shared" si="194"/>
        <v>0</v>
      </c>
      <c r="AG120" s="25">
        <f t="shared" si="194"/>
        <v>0</v>
      </c>
    </row>
    <row r="121" spans="2:34">
      <c r="B121" s="27" t="s">
        <v>46</v>
      </c>
      <c r="C121" s="27"/>
      <c r="D121" s="27">
        <f>C115+D115</f>
        <v>34</v>
      </c>
      <c r="E121" s="27"/>
      <c r="F121" s="27">
        <f>F21+F29+F55+F96+F104+F112+F117+F120</f>
        <v>3442</v>
      </c>
      <c r="G121" s="27">
        <f t="shared" ref="G121:AF121" si="201">G21+G29+G55+G96+G104+G112+G117+G120</f>
        <v>90</v>
      </c>
      <c r="H121" s="27">
        <f t="shared" si="201"/>
        <v>160</v>
      </c>
      <c r="I121" s="27">
        <f t="shared" si="201"/>
        <v>100</v>
      </c>
      <c r="J121" s="27">
        <f t="shared" si="201"/>
        <v>265</v>
      </c>
      <c r="K121" s="27">
        <f t="shared" si="201"/>
        <v>165</v>
      </c>
      <c r="L121" s="27">
        <f t="shared" si="201"/>
        <v>40</v>
      </c>
      <c r="M121" s="27">
        <f t="shared" si="201"/>
        <v>190</v>
      </c>
      <c r="N121" s="27">
        <f t="shared" si="201"/>
        <v>140</v>
      </c>
      <c r="O121" s="27">
        <f t="shared" si="201"/>
        <v>100</v>
      </c>
      <c r="P121" s="27">
        <f t="shared" si="201"/>
        <v>1250</v>
      </c>
      <c r="Q121" s="27">
        <f>Q21+Q29+Q55+Q96+Q104+Q112+Q117+Q120</f>
        <v>4692</v>
      </c>
      <c r="R121" s="27">
        <f t="shared" si="201"/>
        <v>300</v>
      </c>
      <c r="S121" s="27">
        <f t="shared" ref="S121" si="202">S21+S29+S55+S96+S104+S112+S117+S120</f>
        <v>150</v>
      </c>
      <c r="T121" s="27">
        <f t="shared" ref="T121" si="203">T21+T29+T55+T96+T104+T112+T117+T120</f>
        <v>399</v>
      </c>
      <c r="U121" s="27">
        <f t="shared" ref="U121" si="204">U21+U29+U55+U96+U104+U112+U117+U120</f>
        <v>230</v>
      </c>
      <c r="V121" s="27">
        <f t="shared" ref="V121" si="205">V21+V29+V55+V96+V104+V112+V117+V120</f>
        <v>45</v>
      </c>
      <c r="W121" s="27">
        <f>W21+W29+W55+W96+W104+W112+W117+W120</f>
        <v>3498</v>
      </c>
      <c r="X121" s="27">
        <f>X21+X29+X55+X96+X104+X112+X117+X120</f>
        <v>2743</v>
      </c>
      <c r="Y121" s="27"/>
      <c r="Z121" s="27"/>
      <c r="AA121" s="27"/>
      <c r="AB121" s="27">
        <f t="shared" si="201"/>
        <v>1316607000</v>
      </c>
      <c r="AC121" s="27">
        <f t="shared" si="201"/>
        <v>113767000</v>
      </c>
      <c r="AD121" s="27">
        <f t="shared" si="201"/>
        <v>9550000</v>
      </c>
      <c r="AE121" s="27">
        <f t="shared" si="201"/>
        <v>28080000</v>
      </c>
      <c r="AF121" s="27">
        <f t="shared" si="201"/>
        <v>26700000</v>
      </c>
      <c r="AG121" s="27">
        <f>AG21+AG29+AG55+AG96+AG104+AG112+AG117+AG120</f>
        <v>1422174000</v>
      </c>
      <c r="AH121" s="53"/>
    </row>
    <row r="122" spans="2:34">
      <c r="F122" s="98">
        <v>2492</v>
      </c>
      <c r="G122" s="61"/>
      <c r="T122" s="61"/>
    </row>
    <row r="123" spans="2:34">
      <c r="F123" s="98">
        <f>F121-F122</f>
        <v>950</v>
      </c>
      <c r="G123" s="61"/>
      <c r="Q123" s="2">
        <f>(Q121-F121)/F121</f>
        <v>0.36316095293434048</v>
      </c>
      <c r="S123" s="61">
        <f>S121*985000</f>
        <v>147750000</v>
      </c>
      <c r="X123" s="61">
        <f>X121+T121+R121</f>
        <v>3442</v>
      </c>
    </row>
    <row r="124" spans="2:34">
      <c r="F124" s="74"/>
      <c r="G124" s="61"/>
      <c r="Q124" s="61">
        <f>Q121*2000</f>
        <v>9384000</v>
      </c>
      <c r="S124" s="61">
        <f>S123*5/10</f>
        <v>73875000</v>
      </c>
      <c r="U124" s="90">
        <v>2667</v>
      </c>
      <c r="X124" s="61">
        <f>X123*5000</f>
        <v>17210000</v>
      </c>
      <c r="Y124" s="61">
        <f>X121+T121+R121</f>
        <v>3442</v>
      </c>
    </row>
    <row r="125" spans="2:34">
      <c r="B125" s="92" t="s">
        <v>183</v>
      </c>
      <c r="F125" s="74"/>
      <c r="U125" s="61">
        <f>U124+S121+U121+V121</f>
        <v>3092</v>
      </c>
      <c r="Y125" s="61">
        <f>Y124-300</f>
        <v>3142</v>
      </c>
    </row>
    <row r="126" spans="2:34">
      <c r="C126" s="91">
        <v>45566</v>
      </c>
      <c r="D126" s="91">
        <v>45717</v>
      </c>
      <c r="E126" s="91">
        <v>45931</v>
      </c>
      <c r="U126" s="61">
        <f>U125-Q121</f>
        <v>-1600</v>
      </c>
    </row>
    <row r="127" spans="2:34">
      <c r="C127" s="91"/>
      <c r="D127" s="91"/>
      <c r="E127" s="91"/>
      <c r="F127" s="1" t="s">
        <v>186</v>
      </c>
      <c r="G127" s="1" t="s">
        <v>189</v>
      </c>
    </row>
    <row r="128" spans="2:34">
      <c r="B128" t="s">
        <v>184</v>
      </c>
      <c r="C128" s="90">
        <v>82656000</v>
      </c>
      <c r="D128" s="90">
        <v>84405333.333333254</v>
      </c>
      <c r="E128" s="90">
        <v>82656000</v>
      </c>
      <c r="F128" s="74">
        <f>SUM(C128:E128)</f>
        <v>249717333.33333325</v>
      </c>
      <c r="G128" s="90">
        <f>F128*9%</f>
        <v>22474559.999999993</v>
      </c>
    </row>
    <row r="129" spans="1:7">
      <c r="B129" t="s">
        <v>185</v>
      </c>
      <c r="C129" s="90">
        <v>16590000</v>
      </c>
      <c r="D129" s="90">
        <v>18970000</v>
      </c>
      <c r="E129" s="61">
        <f>C129</f>
        <v>16590000</v>
      </c>
      <c r="F129" s="74">
        <f>SUM(C129:E129)</f>
        <v>52150000</v>
      </c>
      <c r="G129" s="90">
        <f>F129*10%</f>
        <v>5215000</v>
      </c>
    </row>
    <row r="130" spans="1:7">
      <c r="B130" s="1" t="s">
        <v>82</v>
      </c>
      <c r="C130" s="61">
        <f>C129/70</f>
        <v>237000</v>
      </c>
      <c r="D130" s="61">
        <f>D129/70</f>
        <v>271000</v>
      </c>
      <c r="F130" s="74">
        <f>SUM(F128:F129)</f>
        <v>301867333.33333325</v>
      </c>
    </row>
    <row r="131" spans="1:7">
      <c r="B131" t="s">
        <v>187</v>
      </c>
      <c r="D131" s="53">
        <f>271000*100</f>
        <v>27100000</v>
      </c>
      <c r="E131" s="90">
        <f>237000*100</f>
        <v>23700000</v>
      </c>
      <c r="F131" s="74">
        <f>SUM(D131:E131)</f>
        <v>50800000</v>
      </c>
      <c r="G131" s="61">
        <f>F131*10%</f>
        <v>5080000</v>
      </c>
    </row>
    <row r="132" spans="1:7">
      <c r="B132" t="s">
        <v>188</v>
      </c>
      <c r="E132" s="90">
        <f>271000*130</f>
        <v>35230000</v>
      </c>
      <c r="F132" s="74">
        <f>SUM(D132:E132)</f>
        <v>35230000</v>
      </c>
      <c r="G132" s="61">
        <f>F132*10%</f>
        <v>3523000</v>
      </c>
    </row>
    <row r="133" spans="1:7">
      <c r="A133" s="1"/>
      <c r="B133" s="1" t="s">
        <v>190</v>
      </c>
      <c r="C133" s="1"/>
      <c r="D133" s="1"/>
      <c r="E133" s="1"/>
      <c r="F133" s="74">
        <f>SUM(F130:F132)</f>
        <v>387897333.33333325</v>
      </c>
      <c r="G133" s="74">
        <f>SUM(G128:G132)</f>
        <v>36292559.999999993</v>
      </c>
    </row>
    <row r="135" spans="1:7">
      <c r="C135" t="s">
        <v>3</v>
      </c>
    </row>
    <row r="136" spans="1:7">
      <c r="B136" s="92" t="s">
        <v>191</v>
      </c>
    </row>
    <row r="137" spans="1:7">
      <c r="B137" t="s">
        <v>36</v>
      </c>
      <c r="C137">
        <v>20</v>
      </c>
      <c r="D137" s="90">
        <v>713667</v>
      </c>
      <c r="E137" s="61">
        <f>C137*D137</f>
        <v>14273340</v>
      </c>
    </row>
    <row r="138" spans="1:7">
      <c r="B138" t="s">
        <v>192</v>
      </c>
      <c r="C138">
        <v>40</v>
      </c>
      <c r="D138" s="90">
        <v>677333</v>
      </c>
      <c r="E138" s="61">
        <f t="shared" ref="E138" si="206">C138*D138</f>
        <v>27093320</v>
      </c>
    </row>
    <row r="139" spans="1:7">
      <c r="B139" t="s">
        <v>193</v>
      </c>
      <c r="C139">
        <v>20</v>
      </c>
      <c r="D139" s="90">
        <v>635250</v>
      </c>
      <c r="E139" s="61">
        <f>C139*D139</f>
        <v>12705000</v>
      </c>
    </row>
    <row r="140" spans="1:7">
      <c r="E140" s="74">
        <f>SUM(E137:E139)</f>
        <v>54071660</v>
      </c>
    </row>
    <row r="141" spans="1:7">
      <c r="B141" t="s">
        <v>253</v>
      </c>
    </row>
    <row r="142" spans="1:7">
      <c r="B142" t="s">
        <v>254</v>
      </c>
      <c r="C142">
        <v>281</v>
      </c>
      <c r="D142" s="90">
        <v>985000</v>
      </c>
      <c r="E142" s="61">
        <f>C142*D142</f>
        <v>276785000</v>
      </c>
    </row>
    <row r="143" spans="1:7">
      <c r="B143" t="s">
        <v>255</v>
      </c>
      <c r="C143">
        <v>19</v>
      </c>
      <c r="D143" s="90">
        <v>985000</v>
      </c>
      <c r="E143" s="61">
        <f>C143*D143</f>
        <v>18715000</v>
      </c>
    </row>
    <row r="144" spans="1:7">
      <c r="E144" s="61">
        <f>SUM(E142:E143)</f>
        <v>295500000</v>
      </c>
    </row>
  </sheetData>
  <mergeCells count="9">
    <mergeCell ref="Y4:AA4"/>
    <mergeCell ref="R3:V3"/>
    <mergeCell ref="G1:P1"/>
    <mergeCell ref="C1:F1"/>
    <mergeCell ref="G2:I2"/>
    <mergeCell ref="J2:L2"/>
    <mergeCell ref="M2:O2"/>
    <mergeCell ref="T4:U4"/>
    <mergeCell ref="R4:S4"/>
  </mergeCells>
  <pageMargins left="0.7" right="0.7" top="0.75" bottom="0.75" header="0.3" footer="0.3"/>
  <pageSetup orientation="portrait" r:id="rId1"/>
  <ignoredErrors>
    <ignoredError sqref="X117:AA1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zoomScale="190" zoomScaleNormal="190" workbookViewId="0">
      <selection activeCell="B1" sqref="B1"/>
    </sheetView>
  </sheetViews>
  <sheetFormatPr defaultRowHeight="14.5"/>
  <cols>
    <col min="1" max="1" width="18.81640625" bestFit="1" customWidth="1"/>
    <col min="2" max="2" width="9.08984375" bestFit="1" customWidth="1"/>
  </cols>
  <sheetData>
    <row r="1" spans="1:5">
      <c r="A1" t="s">
        <v>309</v>
      </c>
      <c r="B1" s="90">
        <v>1300</v>
      </c>
    </row>
    <row r="2" spans="1:5">
      <c r="A2" t="s">
        <v>260</v>
      </c>
      <c r="B2" s="90">
        <v>2500</v>
      </c>
    </row>
    <row r="3" spans="1:5">
      <c r="A3" t="s">
        <v>259</v>
      </c>
      <c r="B3" s="90">
        <v>440</v>
      </c>
    </row>
    <row r="4" spans="1:5">
      <c r="A4" t="s">
        <v>256</v>
      </c>
      <c r="B4" s="90">
        <v>150</v>
      </c>
    </row>
    <row r="5" spans="1:5">
      <c r="A5" s="219" t="s">
        <v>258</v>
      </c>
      <c r="B5" s="220">
        <v>160</v>
      </c>
    </row>
    <row r="6" spans="1:5">
      <c r="A6" t="s">
        <v>310</v>
      </c>
      <c r="B6" s="90">
        <v>1100</v>
      </c>
    </row>
    <row r="7" spans="1:5">
      <c r="A7" t="s">
        <v>311</v>
      </c>
      <c r="B7" s="90">
        <v>100</v>
      </c>
    </row>
    <row r="8" spans="1:5">
      <c r="B8" s="98">
        <f>SUM(B1:B7)</f>
        <v>5750</v>
      </c>
    </row>
    <row r="9" spans="1:5">
      <c r="B9" s="98">
        <v>3442</v>
      </c>
      <c r="C9" s="61">
        <f>B8-B9</f>
        <v>2308</v>
      </c>
      <c r="D9">
        <v>819</v>
      </c>
      <c r="E9" s="2">
        <f>D9/C9</f>
        <v>0.3548526863084922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43"/>
  <sheetViews>
    <sheetView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J22" sqref="J22"/>
    </sheetView>
  </sheetViews>
  <sheetFormatPr defaultRowHeight="14.5"/>
  <cols>
    <col min="1" max="1" width="42.81640625" customWidth="1"/>
    <col min="2" max="2" width="40.81640625" customWidth="1"/>
    <col min="3" max="3" width="16.26953125" customWidth="1"/>
    <col min="4" max="4" width="14.1796875" customWidth="1"/>
    <col min="5" max="5" width="11.1796875" customWidth="1"/>
    <col min="6" max="8" width="11.54296875" customWidth="1"/>
    <col min="10" max="10" width="13.7265625" customWidth="1"/>
  </cols>
  <sheetData>
    <row r="2" spans="1:11">
      <c r="A2" s="1"/>
      <c r="B2" s="1"/>
      <c r="C2" s="1" t="s">
        <v>23</v>
      </c>
      <c r="D2" s="1" t="s">
        <v>24</v>
      </c>
      <c r="E2" s="1" t="s">
        <v>25</v>
      </c>
      <c r="F2" s="1" t="s">
        <v>26</v>
      </c>
      <c r="G2" s="1" t="s">
        <v>50</v>
      </c>
      <c r="H2" s="1" t="s">
        <v>22</v>
      </c>
      <c r="I2" s="1" t="s">
        <v>45</v>
      </c>
      <c r="J2" s="1" t="s">
        <v>46</v>
      </c>
    </row>
    <row r="3" spans="1:11" hidden="1">
      <c r="A3" s="10" t="s">
        <v>43</v>
      </c>
      <c r="B3" s="10"/>
      <c r="C3" s="11"/>
      <c r="D3" s="16"/>
      <c r="E3" s="16"/>
      <c r="F3" s="16"/>
      <c r="G3" s="16"/>
      <c r="H3" s="16"/>
      <c r="I3" s="11"/>
      <c r="J3" s="11"/>
    </row>
    <row r="4" spans="1:11" hidden="1">
      <c r="A4" s="10"/>
      <c r="B4" s="10"/>
      <c r="C4" s="11"/>
      <c r="D4" s="16"/>
      <c r="E4" s="16"/>
      <c r="F4" s="16"/>
      <c r="G4" s="16"/>
      <c r="H4" s="16"/>
      <c r="I4" s="11"/>
      <c r="J4" s="12"/>
    </row>
    <row r="5" spans="1:11" hidden="1">
      <c r="A5" s="237" t="s">
        <v>30</v>
      </c>
      <c r="B5" s="11" t="s">
        <v>27</v>
      </c>
      <c r="C5" s="11">
        <v>22</v>
      </c>
      <c r="D5" s="11">
        <v>26</v>
      </c>
      <c r="E5" s="11">
        <v>76</v>
      </c>
      <c r="F5" s="11">
        <v>18</v>
      </c>
      <c r="G5" s="11"/>
      <c r="H5" s="11"/>
      <c r="I5" s="11">
        <v>0</v>
      </c>
      <c r="J5" s="13">
        <f>SUM(C5:I5)</f>
        <v>142</v>
      </c>
    </row>
    <row r="6" spans="1:11" hidden="1">
      <c r="A6" s="237"/>
      <c r="B6" s="11" t="s">
        <v>28</v>
      </c>
      <c r="C6" s="11">
        <v>0</v>
      </c>
      <c r="D6" s="11">
        <v>0</v>
      </c>
      <c r="E6" s="11">
        <v>0</v>
      </c>
      <c r="F6" s="11">
        <v>0</v>
      </c>
      <c r="G6" s="11"/>
      <c r="H6" s="11"/>
      <c r="I6" s="11">
        <v>0</v>
      </c>
      <c r="J6" s="13">
        <f>SUM(C6:I6)</f>
        <v>0</v>
      </c>
    </row>
    <row r="7" spans="1:11" hidden="1">
      <c r="A7" s="237" t="s">
        <v>31</v>
      </c>
      <c r="B7" s="11" t="s">
        <v>27</v>
      </c>
      <c r="C7" s="11">
        <f>35+4</f>
        <v>39</v>
      </c>
      <c r="D7" s="11">
        <v>63</v>
      </c>
      <c r="E7" s="11">
        <v>8</v>
      </c>
      <c r="F7" s="11">
        <v>17</v>
      </c>
      <c r="G7" s="11"/>
      <c r="H7" s="11"/>
      <c r="I7" s="11"/>
      <c r="J7" s="13">
        <f>SUM(C7:I7)</f>
        <v>127</v>
      </c>
    </row>
    <row r="8" spans="1:11" hidden="1">
      <c r="A8" s="237"/>
      <c r="B8" s="11" t="s">
        <v>28</v>
      </c>
      <c r="C8" s="10">
        <v>23</v>
      </c>
      <c r="D8" s="10"/>
      <c r="E8" s="10">
        <v>20</v>
      </c>
      <c r="F8" s="10">
        <v>19</v>
      </c>
      <c r="G8" s="10"/>
      <c r="H8" s="10"/>
      <c r="I8" s="10"/>
      <c r="J8" s="13">
        <f>SUM(C8:I8)</f>
        <v>62</v>
      </c>
    </row>
    <row r="9" spans="1:11" hidden="1">
      <c r="A9" s="21"/>
      <c r="B9" s="18"/>
      <c r="C9" s="18"/>
      <c r="D9" s="18"/>
      <c r="E9" s="18"/>
      <c r="F9" s="18"/>
      <c r="G9" s="18"/>
      <c r="H9" s="18"/>
      <c r="I9" s="18"/>
      <c r="J9" s="20">
        <f>SUM(J5:J8)</f>
        <v>331</v>
      </c>
    </row>
    <row r="10" spans="1:11" hidden="1">
      <c r="A10" s="10" t="s">
        <v>39</v>
      </c>
      <c r="B10" s="11" t="s">
        <v>27</v>
      </c>
      <c r="C10" s="11">
        <v>0</v>
      </c>
      <c r="D10" s="11">
        <v>0</v>
      </c>
      <c r="E10" s="11">
        <v>0</v>
      </c>
      <c r="F10" s="11">
        <v>0</v>
      </c>
      <c r="G10" s="11"/>
      <c r="H10" s="11"/>
      <c r="I10" s="11">
        <v>0</v>
      </c>
      <c r="J10" s="13">
        <v>0</v>
      </c>
    </row>
    <row r="11" spans="1:11" hidden="1">
      <c r="A11" s="11"/>
      <c r="B11" s="11" t="s">
        <v>28</v>
      </c>
      <c r="C11" s="11">
        <v>34</v>
      </c>
      <c r="D11" s="11">
        <v>0</v>
      </c>
      <c r="E11" s="11">
        <v>14</v>
      </c>
      <c r="F11" s="11">
        <v>14</v>
      </c>
      <c r="G11" s="11"/>
      <c r="H11" s="11"/>
      <c r="I11" s="11">
        <v>0</v>
      </c>
      <c r="J11" s="22">
        <f>SUM(C11:I11)</f>
        <v>62</v>
      </c>
      <c r="K11" t="e">
        <f>J11-'INCOME DETAILS'!#REF!</f>
        <v>#REF!</v>
      </c>
    </row>
    <row r="12" spans="1:11" hidden="1">
      <c r="A12" s="18"/>
      <c r="B12" s="19"/>
      <c r="C12" s="19"/>
      <c r="D12" s="19"/>
      <c r="E12" s="19"/>
      <c r="F12" s="19"/>
      <c r="G12" s="19"/>
      <c r="H12" s="19"/>
      <c r="I12" s="19"/>
      <c r="J12" s="20">
        <f>SUM(J10:J11)</f>
        <v>62</v>
      </c>
    </row>
    <row r="13" spans="1:11">
      <c r="A13" s="10" t="s">
        <v>40</v>
      </c>
      <c r="B13" s="11"/>
      <c r="C13" s="11"/>
      <c r="D13" s="11"/>
      <c r="E13" s="11"/>
      <c r="F13" s="11"/>
      <c r="G13" s="11"/>
      <c r="H13" s="11"/>
      <c r="I13" s="11"/>
      <c r="J13" s="13"/>
    </row>
    <row r="14" spans="1:11" ht="15.5">
      <c r="A14" s="237" t="s">
        <v>32</v>
      </c>
      <c r="B14" s="11" t="s">
        <v>27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23"/>
    </row>
    <row r="15" spans="1:11" ht="15.5">
      <c r="A15" s="237"/>
      <c r="B15" s="11" t="s">
        <v>28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5"/>
    </row>
    <row r="16" spans="1:11" ht="15.5">
      <c r="A16" s="237"/>
      <c r="B16" s="11" t="s">
        <v>29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5"/>
    </row>
    <row r="17" spans="1:11" ht="15.5">
      <c r="A17" s="237" t="s">
        <v>34</v>
      </c>
      <c r="B17" s="11" t="s">
        <v>27</v>
      </c>
      <c r="C17" s="14">
        <v>38</v>
      </c>
      <c r="D17" s="14">
        <v>98</v>
      </c>
      <c r="E17" s="14"/>
      <c r="F17" s="14"/>
      <c r="G17" s="14"/>
      <c r="H17" s="14"/>
      <c r="I17" s="14"/>
      <c r="J17" s="15">
        <v>136</v>
      </c>
    </row>
    <row r="18" spans="1:11" ht="15.5">
      <c r="A18" s="237"/>
      <c r="B18" s="11" t="s">
        <v>28</v>
      </c>
      <c r="C18" s="14">
        <v>63</v>
      </c>
      <c r="D18" s="14">
        <v>17</v>
      </c>
      <c r="E18" s="14">
        <v>16</v>
      </c>
      <c r="F18" s="14">
        <v>12</v>
      </c>
      <c r="G18" s="14"/>
      <c r="H18" s="14">
        <v>12</v>
      </c>
      <c r="I18" s="14"/>
      <c r="J18" s="15">
        <v>120</v>
      </c>
    </row>
    <row r="19" spans="1:11" ht="15.5">
      <c r="A19" s="237"/>
      <c r="B19" s="11" t="s">
        <v>29</v>
      </c>
      <c r="C19" s="14">
        <v>140</v>
      </c>
      <c r="D19" s="14"/>
      <c r="E19" s="14">
        <v>5</v>
      </c>
      <c r="F19" s="14">
        <v>8</v>
      </c>
      <c r="G19" s="14"/>
      <c r="H19" s="14">
        <v>8</v>
      </c>
      <c r="I19" s="14"/>
      <c r="J19" s="15">
        <v>161</v>
      </c>
      <c r="K19">
        <v>137</v>
      </c>
    </row>
    <row r="20" spans="1:11" ht="15.5">
      <c r="A20" s="237" t="s">
        <v>33</v>
      </c>
      <c r="B20" s="11" t="s">
        <v>27</v>
      </c>
      <c r="C20" s="14">
        <v>54</v>
      </c>
      <c r="D20" s="14">
        <v>113</v>
      </c>
      <c r="E20" s="14"/>
      <c r="F20" s="14"/>
      <c r="G20" s="14"/>
      <c r="H20" s="14"/>
      <c r="I20" s="14"/>
      <c r="J20" s="15">
        <v>167</v>
      </c>
      <c r="K20" s="61">
        <f>J17+J20</f>
        <v>303</v>
      </c>
    </row>
    <row r="21" spans="1:11" ht="15.5">
      <c r="A21" s="237"/>
      <c r="B21" s="11" t="s">
        <v>28</v>
      </c>
      <c r="C21" s="14">
        <v>16</v>
      </c>
      <c r="D21" s="14">
        <v>48</v>
      </c>
      <c r="E21" s="14">
        <v>56</v>
      </c>
      <c r="F21" s="14">
        <v>33</v>
      </c>
      <c r="G21" s="14"/>
      <c r="H21" s="14">
        <v>33</v>
      </c>
      <c r="I21" s="14"/>
      <c r="J21" s="15">
        <v>186</v>
      </c>
      <c r="K21" s="61">
        <f>K20-K19</f>
        <v>166</v>
      </c>
    </row>
    <row r="22" spans="1:11" ht="15.5">
      <c r="A22" s="237"/>
      <c r="B22" s="11" t="s">
        <v>29</v>
      </c>
      <c r="C22" s="14">
        <v>137</v>
      </c>
      <c r="D22" s="14"/>
      <c r="E22" s="14">
        <v>69</v>
      </c>
      <c r="F22" s="14">
        <v>47</v>
      </c>
      <c r="G22" s="14"/>
      <c r="H22" s="14">
        <v>47</v>
      </c>
      <c r="I22" s="14"/>
      <c r="J22" s="15">
        <v>300</v>
      </c>
    </row>
    <row r="23" spans="1:11">
      <c r="A23" s="19" t="s">
        <v>41</v>
      </c>
      <c r="B23" s="18"/>
      <c r="C23" s="18"/>
      <c r="D23" s="18"/>
      <c r="E23" s="18"/>
      <c r="F23" s="18"/>
      <c r="G23" s="18"/>
      <c r="H23" s="18"/>
      <c r="I23" s="18"/>
      <c r="J23" s="20">
        <f>SUM(J14:J22)</f>
        <v>1070</v>
      </c>
    </row>
    <row r="24" spans="1:11">
      <c r="A24" s="237" t="s">
        <v>35</v>
      </c>
      <c r="B24" s="11" t="s">
        <v>27</v>
      </c>
      <c r="C24" s="11"/>
      <c r="D24" s="11"/>
      <c r="E24" s="11">
        <v>16</v>
      </c>
      <c r="F24" s="11">
        <v>45</v>
      </c>
      <c r="G24" s="11"/>
      <c r="H24" s="11"/>
      <c r="I24" s="11"/>
      <c r="J24" s="13">
        <f>SUM(C24:I24)</f>
        <v>61</v>
      </c>
    </row>
    <row r="25" spans="1:11">
      <c r="A25" s="237"/>
      <c r="B25" s="11" t="s">
        <v>28</v>
      </c>
      <c r="C25" s="11"/>
      <c r="D25" s="11"/>
      <c r="E25" s="11"/>
      <c r="F25" s="11"/>
      <c r="G25" s="11"/>
      <c r="H25" s="11"/>
      <c r="I25" s="11"/>
      <c r="J25" s="13">
        <f t="shared" ref="J25:J31" si="0">SUM(C25:I25)</f>
        <v>0</v>
      </c>
    </row>
    <row r="26" spans="1:11">
      <c r="A26" s="237" t="s">
        <v>36</v>
      </c>
      <c r="B26" s="11" t="s">
        <v>27</v>
      </c>
      <c r="C26" s="11"/>
      <c r="D26" s="11">
        <v>5</v>
      </c>
      <c r="E26" s="11"/>
      <c r="F26" s="11"/>
      <c r="G26" s="11"/>
      <c r="H26" s="11"/>
      <c r="I26" s="11"/>
      <c r="J26" s="13">
        <f t="shared" si="0"/>
        <v>5</v>
      </c>
    </row>
    <row r="27" spans="1:11">
      <c r="A27" s="237"/>
      <c r="B27" s="11" t="s">
        <v>28</v>
      </c>
      <c r="C27" s="11"/>
      <c r="D27" s="11"/>
      <c r="E27" s="11"/>
      <c r="F27" s="11"/>
      <c r="G27" s="11"/>
      <c r="H27" s="11"/>
      <c r="I27" s="11"/>
      <c r="J27" s="13">
        <f t="shared" si="0"/>
        <v>0</v>
      </c>
    </row>
    <row r="28" spans="1:11" ht="14.25" customHeight="1">
      <c r="A28" s="237" t="s">
        <v>37</v>
      </c>
      <c r="B28" s="11" t="s">
        <v>27</v>
      </c>
      <c r="C28" s="11">
        <f>43+40</f>
        <v>83</v>
      </c>
      <c r="D28" s="11"/>
      <c r="E28" s="11"/>
      <c r="F28" s="11"/>
      <c r="G28" s="11"/>
      <c r="H28" s="11"/>
      <c r="I28" s="11"/>
      <c r="J28" s="13">
        <f t="shared" si="0"/>
        <v>83</v>
      </c>
    </row>
    <row r="29" spans="1:11">
      <c r="A29" s="237"/>
      <c r="B29" s="11" t="s">
        <v>28</v>
      </c>
      <c r="C29" s="11"/>
      <c r="D29" s="11"/>
      <c r="E29" s="11"/>
      <c r="F29" s="11"/>
      <c r="G29" s="11"/>
      <c r="H29" s="11"/>
      <c r="I29" s="11"/>
      <c r="J29" s="13">
        <f t="shared" si="0"/>
        <v>0</v>
      </c>
    </row>
    <row r="30" spans="1:11">
      <c r="A30" s="237" t="s">
        <v>38</v>
      </c>
      <c r="B30" s="11" t="s">
        <v>27</v>
      </c>
      <c r="C30" s="11">
        <f>100+100</f>
        <v>200</v>
      </c>
      <c r="D30" s="11"/>
      <c r="E30" s="11"/>
      <c r="F30" s="11"/>
      <c r="G30" s="11"/>
      <c r="H30" s="11"/>
      <c r="I30" s="11"/>
      <c r="J30" s="13">
        <f t="shared" si="0"/>
        <v>200</v>
      </c>
    </row>
    <row r="31" spans="1:11">
      <c r="A31" s="237"/>
      <c r="B31" s="11" t="s">
        <v>28</v>
      </c>
      <c r="C31" s="11"/>
      <c r="D31" s="11"/>
      <c r="E31" s="11"/>
      <c r="F31" s="11"/>
      <c r="G31" s="11"/>
      <c r="H31" s="11"/>
      <c r="I31" s="11"/>
      <c r="J31" s="13">
        <f t="shared" si="0"/>
        <v>0</v>
      </c>
    </row>
    <row r="32" spans="1:11">
      <c r="A32" s="18"/>
      <c r="B32" s="18"/>
      <c r="C32" s="18"/>
      <c r="D32" s="18"/>
      <c r="E32" s="18"/>
      <c r="F32" s="18"/>
      <c r="G32" s="18"/>
      <c r="H32" s="18"/>
      <c r="I32" s="18"/>
      <c r="J32" s="20">
        <f>SUM(J24:J31)</f>
        <v>349</v>
      </c>
    </row>
    <row r="33" spans="1:10">
      <c r="A33" s="10" t="s">
        <v>42</v>
      </c>
      <c r="B33" s="11" t="s">
        <v>27</v>
      </c>
      <c r="C33" s="11">
        <v>57</v>
      </c>
      <c r="D33" s="11">
        <v>0</v>
      </c>
      <c r="E33" s="11">
        <v>30</v>
      </c>
      <c r="F33" s="11">
        <v>32</v>
      </c>
      <c r="G33" s="11"/>
      <c r="H33" s="11"/>
      <c r="I33" s="11">
        <v>1</v>
      </c>
      <c r="J33" s="13">
        <f>SUM(C33:I33)</f>
        <v>120</v>
      </c>
    </row>
    <row r="34" spans="1:10">
      <c r="A34" s="11"/>
      <c r="B34" s="11" t="s">
        <v>28</v>
      </c>
      <c r="C34" s="11">
        <v>0</v>
      </c>
      <c r="D34" s="11">
        <v>0</v>
      </c>
      <c r="E34" s="11">
        <v>0</v>
      </c>
      <c r="F34" s="11">
        <v>0</v>
      </c>
      <c r="G34" s="11"/>
      <c r="H34" s="11"/>
      <c r="I34" s="11"/>
      <c r="J34" s="13">
        <f>SUM(C34:I34)</f>
        <v>0</v>
      </c>
    </row>
    <row r="35" spans="1:10">
      <c r="A35" s="18"/>
      <c r="B35" s="18"/>
      <c r="C35" s="18"/>
      <c r="D35" s="18"/>
      <c r="E35" s="18"/>
      <c r="F35" s="18"/>
      <c r="G35" s="18"/>
      <c r="H35" s="18"/>
      <c r="I35" s="18"/>
      <c r="J35" s="20">
        <f>SUM(J33:J34)</f>
        <v>120</v>
      </c>
    </row>
    <row r="36" spans="1:10">
      <c r="A36" s="10" t="s">
        <v>44</v>
      </c>
      <c r="B36" s="11" t="s">
        <v>27</v>
      </c>
      <c r="C36" s="11">
        <v>40</v>
      </c>
      <c r="D36" s="11">
        <v>113</v>
      </c>
      <c r="E36" s="11"/>
      <c r="F36" s="11"/>
      <c r="G36" s="11"/>
      <c r="H36" s="11">
        <v>18</v>
      </c>
      <c r="I36" s="11"/>
      <c r="J36" s="13">
        <f>SUM(C36:I36)</f>
        <v>171</v>
      </c>
    </row>
    <row r="37" spans="1:10">
      <c r="A37" s="11"/>
      <c r="B37" s="11" t="s">
        <v>28</v>
      </c>
      <c r="C37" s="11">
        <v>27</v>
      </c>
      <c r="D37" s="11">
        <v>101</v>
      </c>
      <c r="E37" s="11">
        <v>48</v>
      </c>
      <c r="F37" s="11">
        <v>74</v>
      </c>
      <c r="G37" s="11"/>
      <c r="H37" s="11">
        <v>62</v>
      </c>
      <c r="I37" s="11"/>
      <c r="J37" s="13">
        <f>SUM(C37:I37)</f>
        <v>312</v>
      </c>
    </row>
    <row r="38" spans="1:10">
      <c r="A38" s="18"/>
      <c r="B38" s="18"/>
      <c r="C38" s="18"/>
      <c r="D38" s="18"/>
      <c r="E38" s="18"/>
      <c r="F38" s="18"/>
      <c r="G38" s="18"/>
      <c r="H38" s="18"/>
      <c r="I38" s="18"/>
      <c r="J38" s="24">
        <f>SUM(J36:J37)</f>
        <v>483</v>
      </c>
    </row>
    <row r="39" spans="1:10">
      <c r="A39" s="10" t="s">
        <v>47</v>
      </c>
      <c r="B39" s="11"/>
      <c r="C39" s="11"/>
      <c r="D39" s="11"/>
      <c r="E39" s="11"/>
      <c r="F39" s="11"/>
      <c r="G39" s="11"/>
      <c r="H39" s="11"/>
      <c r="I39" s="11"/>
      <c r="J39" s="13"/>
    </row>
    <row r="40" spans="1:10">
      <c r="A40" s="11"/>
      <c r="B40" s="11" t="s">
        <v>48</v>
      </c>
      <c r="C40" s="11"/>
      <c r="D40" s="11"/>
      <c r="E40" s="11"/>
      <c r="F40" s="11"/>
      <c r="G40" s="11">
        <v>70</v>
      </c>
      <c r="H40" s="11"/>
      <c r="I40" s="11"/>
      <c r="J40" s="13">
        <f>SUM(G40:I40)</f>
        <v>70</v>
      </c>
    </row>
    <row r="41" spans="1:10">
      <c r="A41" s="11"/>
      <c r="B41" s="11" t="s">
        <v>49</v>
      </c>
      <c r="C41" s="11"/>
      <c r="D41" s="11"/>
      <c r="E41" s="11"/>
      <c r="F41" s="11"/>
      <c r="G41" s="11">
        <v>7</v>
      </c>
      <c r="H41" s="11"/>
      <c r="I41" s="11"/>
      <c r="J41" s="13">
        <f>SUM(G41:I41)</f>
        <v>7</v>
      </c>
    </row>
    <row r="42" spans="1:10">
      <c r="A42" s="18"/>
      <c r="B42" s="18"/>
      <c r="C42" s="18"/>
      <c r="D42" s="18"/>
      <c r="E42" s="18"/>
      <c r="F42" s="18"/>
      <c r="G42" s="18"/>
      <c r="H42" s="18"/>
      <c r="I42" s="18"/>
      <c r="J42" s="20">
        <f>SUM(J40:J41)</f>
        <v>77</v>
      </c>
    </row>
    <row r="43" spans="1:10">
      <c r="A43" s="17" t="s">
        <v>51</v>
      </c>
      <c r="B43" s="17"/>
      <c r="C43" s="17"/>
      <c r="D43" s="17"/>
      <c r="E43" s="17"/>
      <c r="F43" s="17"/>
      <c r="G43" s="17"/>
      <c r="H43" s="25">
        <f>SUM(H14:H42)</f>
        <v>180</v>
      </c>
      <c r="I43" s="25">
        <f t="shared" ref="I43" si="1">I9+I12+I23+I32+I35+I38+I42</f>
        <v>0</v>
      </c>
      <c r="J43" s="25">
        <f>J9+J12+J23+J32+J35+J38+J42</f>
        <v>2492</v>
      </c>
    </row>
  </sheetData>
  <mergeCells count="9">
    <mergeCell ref="A24:A25"/>
    <mergeCell ref="A26:A27"/>
    <mergeCell ref="A28:A29"/>
    <mergeCell ref="A30:A31"/>
    <mergeCell ref="A5:A6"/>
    <mergeCell ref="A7:A8"/>
    <mergeCell ref="A14:A16"/>
    <mergeCell ref="A17:A19"/>
    <mergeCell ref="A20:A22"/>
  </mergeCells>
  <phoneticPr fontId="9" type="noConversion"/>
  <pageMargins left="0.7" right="0.7" top="0.75" bottom="0.75" header="0.3" footer="0.3"/>
  <ignoredErrors>
    <ignoredError sqref="J32" formula="1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5"/>
  <sheetViews>
    <sheetView workbookViewId="0">
      <selection activeCell="M23" sqref="M23"/>
    </sheetView>
  </sheetViews>
  <sheetFormatPr defaultRowHeight="14.5"/>
  <sheetData>
    <row r="2" spans="1:13">
      <c r="A2" s="1"/>
      <c r="B2" s="1"/>
      <c r="C2" s="1" t="s">
        <v>23</v>
      </c>
      <c r="D2" s="1" t="s">
        <v>24</v>
      </c>
      <c r="E2" s="1" t="s">
        <v>25</v>
      </c>
      <c r="F2" s="1" t="s">
        <v>26</v>
      </c>
      <c r="G2" s="1" t="s">
        <v>50</v>
      </c>
      <c r="H2" s="1" t="s">
        <v>22</v>
      </c>
      <c r="I2" s="1" t="s">
        <v>45</v>
      </c>
      <c r="J2" s="1" t="s">
        <v>46</v>
      </c>
    </row>
    <row r="3" spans="1:13">
      <c r="A3" s="10" t="s">
        <v>40</v>
      </c>
      <c r="B3" s="11"/>
      <c r="C3" s="11"/>
      <c r="D3" s="11"/>
      <c r="E3" s="11"/>
      <c r="F3" s="11"/>
      <c r="G3" s="11"/>
      <c r="H3" s="11"/>
      <c r="I3" s="11"/>
      <c r="J3" s="13"/>
    </row>
    <row r="4" spans="1:13" ht="15.5">
      <c r="A4" s="26" t="s">
        <v>32</v>
      </c>
      <c r="B4" s="11" t="s">
        <v>27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23"/>
    </row>
    <row r="5" spans="1:13" ht="15.5">
      <c r="A5" s="26"/>
      <c r="B5" s="11" t="s">
        <v>28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5"/>
    </row>
    <row r="6" spans="1:13" ht="15.5">
      <c r="A6" s="26"/>
      <c r="B6" s="11" t="s">
        <v>29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5"/>
    </row>
    <row r="7" spans="1:13" ht="15.5">
      <c r="A7" s="26" t="s">
        <v>34</v>
      </c>
      <c r="B7" s="11" t="s">
        <v>27</v>
      </c>
      <c r="C7" s="14">
        <v>38</v>
      </c>
      <c r="D7" s="14">
        <v>98</v>
      </c>
      <c r="E7" s="14"/>
      <c r="F7" s="14"/>
      <c r="G7" s="14"/>
      <c r="H7" s="14"/>
      <c r="I7" s="14"/>
      <c r="J7" s="15">
        <v>136</v>
      </c>
    </row>
    <row r="8" spans="1:13" ht="15.5">
      <c r="A8" s="26"/>
      <c r="B8" s="11" t="s">
        <v>28</v>
      </c>
      <c r="C8" s="14">
        <v>63</v>
      </c>
      <c r="D8" s="14">
        <v>17</v>
      </c>
      <c r="E8" s="14">
        <v>16</v>
      </c>
      <c r="F8" s="14">
        <v>12</v>
      </c>
      <c r="G8" s="14"/>
      <c r="H8" s="14">
        <v>12</v>
      </c>
      <c r="I8" s="14"/>
      <c r="J8" s="15">
        <v>120</v>
      </c>
    </row>
    <row r="9" spans="1:13" ht="15.5">
      <c r="A9" s="26"/>
      <c r="B9" s="11" t="s">
        <v>29</v>
      </c>
      <c r="C9" s="14">
        <v>140</v>
      </c>
      <c r="D9" s="14"/>
      <c r="E9" s="14">
        <v>5</v>
      </c>
      <c r="F9" s="14">
        <v>8</v>
      </c>
      <c r="G9" s="14"/>
      <c r="H9" s="14">
        <v>8</v>
      </c>
      <c r="I9" s="14"/>
      <c r="J9" s="15">
        <v>161</v>
      </c>
    </row>
    <row r="10" spans="1:13" ht="15.5">
      <c r="A10" s="26" t="s">
        <v>33</v>
      </c>
      <c r="B10" s="11" t="s">
        <v>27</v>
      </c>
      <c r="C10" s="14">
        <v>54</v>
      </c>
      <c r="D10" s="14">
        <v>113</v>
      </c>
      <c r="E10" s="14"/>
      <c r="F10" s="14"/>
      <c r="G10" s="14"/>
      <c r="H10" s="14"/>
      <c r="I10" s="14"/>
      <c r="J10" s="15">
        <v>167</v>
      </c>
    </row>
    <row r="11" spans="1:13" ht="15.5">
      <c r="A11" s="26"/>
      <c r="B11" s="11" t="s">
        <v>28</v>
      </c>
      <c r="C11" s="14">
        <v>16</v>
      </c>
      <c r="D11" s="14">
        <v>48</v>
      </c>
      <c r="E11" s="14">
        <v>56</v>
      </c>
      <c r="F11" s="14">
        <v>33</v>
      </c>
      <c r="G11" s="14"/>
      <c r="H11" s="14">
        <v>33</v>
      </c>
      <c r="I11" s="14"/>
      <c r="J11" s="15">
        <v>186</v>
      </c>
    </row>
    <row r="12" spans="1:13" ht="15.5">
      <c r="A12" s="26"/>
      <c r="B12" s="11" t="s">
        <v>29</v>
      </c>
      <c r="C12" s="14">
        <v>137</v>
      </c>
      <c r="D12" s="14"/>
      <c r="E12" s="14">
        <v>69</v>
      </c>
      <c r="F12" s="14">
        <v>47</v>
      </c>
      <c r="G12" s="14"/>
      <c r="H12" s="14">
        <v>47</v>
      </c>
      <c r="I12" s="14"/>
      <c r="J12" s="15">
        <v>300</v>
      </c>
    </row>
    <row r="16" spans="1:13">
      <c r="C16" s="1"/>
      <c r="D16" s="10" t="s">
        <v>40</v>
      </c>
      <c r="E16" s="26" t="s">
        <v>32</v>
      </c>
      <c r="F16" s="26"/>
      <c r="G16" s="26"/>
      <c r="H16" s="26" t="s">
        <v>34</v>
      </c>
      <c r="I16" s="26"/>
      <c r="J16" s="26"/>
      <c r="K16" s="26" t="s">
        <v>33</v>
      </c>
      <c r="L16" s="26"/>
      <c r="M16" s="26"/>
    </row>
    <row r="17" spans="3:13">
      <c r="C17" s="1"/>
      <c r="D17" s="11"/>
      <c r="E17" s="11" t="s">
        <v>27</v>
      </c>
      <c r="F17" s="11" t="s">
        <v>28</v>
      </c>
      <c r="G17" s="11" t="s">
        <v>29</v>
      </c>
      <c r="H17" s="11" t="s">
        <v>27</v>
      </c>
      <c r="I17" s="11" t="s">
        <v>28</v>
      </c>
      <c r="J17" s="11" t="s">
        <v>29</v>
      </c>
      <c r="K17" s="11" t="s">
        <v>27</v>
      </c>
      <c r="L17" s="11" t="s">
        <v>28</v>
      </c>
      <c r="M17" s="11" t="s">
        <v>29</v>
      </c>
    </row>
    <row r="18" spans="3:13" ht="15.5">
      <c r="C18" s="1" t="s">
        <v>23</v>
      </c>
      <c r="D18" s="11"/>
      <c r="E18" s="14">
        <v>0</v>
      </c>
      <c r="F18" s="14">
        <v>0</v>
      </c>
      <c r="G18" s="14">
        <v>0</v>
      </c>
      <c r="H18" s="14">
        <v>38</v>
      </c>
      <c r="I18" s="14">
        <v>63</v>
      </c>
      <c r="J18" s="14">
        <v>140</v>
      </c>
      <c r="K18" s="14">
        <v>54</v>
      </c>
      <c r="L18" s="14">
        <v>16</v>
      </c>
      <c r="M18" s="14">
        <v>137</v>
      </c>
    </row>
    <row r="19" spans="3:13" ht="15.5">
      <c r="C19" s="1" t="s">
        <v>24</v>
      </c>
      <c r="D19" s="11"/>
      <c r="E19" s="14">
        <v>0</v>
      </c>
      <c r="F19" s="14">
        <v>0</v>
      </c>
      <c r="G19" s="14">
        <v>0</v>
      </c>
      <c r="H19" s="14">
        <v>98</v>
      </c>
      <c r="I19" s="14">
        <v>17</v>
      </c>
      <c r="J19" s="14"/>
      <c r="K19" s="14">
        <v>113</v>
      </c>
      <c r="L19" s="14">
        <v>48</v>
      </c>
      <c r="M19" s="14"/>
    </row>
    <row r="20" spans="3:13" ht="15.5">
      <c r="C20" s="1" t="s">
        <v>25</v>
      </c>
      <c r="D20" s="11"/>
      <c r="E20" s="14">
        <v>0</v>
      </c>
      <c r="F20" s="14">
        <v>0</v>
      </c>
      <c r="G20" s="14">
        <v>0</v>
      </c>
      <c r="H20" s="14"/>
      <c r="I20" s="14">
        <v>16</v>
      </c>
      <c r="J20" s="14">
        <v>5</v>
      </c>
      <c r="K20" s="14"/>
      <c r="L20" s="14">
        <v>56</v>
      </c>
      <c r="M20" s="14">
        <v>69</v>
      </c>
    </row>
    <row r="21" spans="3:13" ht="15.5">
      <c r="C21" s="1" t="s">
        <v>26</v>
      </c>
      <c r="D21" s="11"/>
      <c r="E21" s="14">
        <v>0</v>
      </c>
      <c r="F21" s="14">
        <v>0</v>
      </c>
      <c r="G21" s="14">
        <v>0</v>
      </c>
      <c r="H21" s="14"/>
      <c r="I21" s="14">
        <v>12</v>
      </c>
      <c r="J21" s="14">
        <v>8</v>
      </c>
      <c r="K21" s="14"/>
      <c r="L21" s="14">
        <v>33</v>
      </c>
      <c r="M21" s="14">
        <v>47</v>
      </c>
    </row>
    <row r="22" spans="3:13" ht="15.5">
      <c r="C22" s="1" t="s">
        <v>50</v>
      </c>
      <c r="D22" s="11"/>
      <c r="E22" s="14">
        <v>0</v>
      </c>
      <c r="F22" s="14">
        <v>0</v>
      </c>
      <c r="G22" s="14">
        <v>0</v>
      </c>
      <c r="H22" s="14"/>
      <c r="I22" s="14"/>
      <c r="J22" s="14"/>
      <c r="K22" s="14"/>
      <c r="L22" s="14"/>
      <c r="M22" s="14"/>
    </row>
    <row r="23" spans="3:13" ht="15.5">
      <c r="C23" s="1" t="s">
        <v>22</v>
      </c>
      <c r="D23" s="11"/>
      <c r="E23" s="14">
        <v>0</v>
      </c>
      <c r="F23" s="14">
        <v>0</v>
      </c>
      <c r="G23" s="14">
        <v>0</v>
      </c>
      <c r="H23" s="14"/>
      <c r="I23" s="14">
        <v>12</v>
      </c>
      <c r="J23" s="14">
        <v>8</v>
      </c>
      <c r="K23" s="14"/>
      <c r="L23" s="14">
        <v>33</v>
      </c>
      <c r="M23" s="14">
        <v>47</v>
      </c>
    </row>
    <row r="24" spans="3:13" ht="15.5">
      <c r="C24" s="1" t="s">
        <v>45</v>
      </c>
      <c r="D24" s="11"/>
      <c r="E24" s="14">
        <v>0</v>
      </c>
      <c r="F24" s="14">
        <v>0</v>
      </c>
      <c r="G24" s="14">
        <v>0</v>
      </c>
      <c r="H24" s="14"/>
      <c r="I24" s="14"/>
      <c r="J24" s="14"/>
      <c r="K24" s="14"/>
      <c r="L24" s="14"/>
      <c r="M24" s="14"/>
    </row>
    <row r="25" spans="3:13" ht="15.5">
      <c r="C25" s="1" t="s">
        <v>46</v>
      </c>
      <c r="D25" s="13"/>
      <c r="E25" s="23"/>
      <c r="F25" s="15"/>
      <c r="G25" s="15"/>
      <c r="H25" s="15">
        <v>136</v>
      </c>
      <c r="I25" s="15">
        <v>120</v>
      </c>
      <c r="J25" s="15">
        <v>161</v>
      </c>
      <c r="K25" s="15">
        <v>167</v>
      </c>
      <c r="L25" s="15">
        <v>186</v>
      </c>
      <c r="M25" s="15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opLeftCell="A4" zoomScale="150" zoomScaleNormal="150" workbookViewId="0">
      <selection activeCell="B6" sqref="B6:B13"/>
    </sheetView>
  </sheetViews>
  <sheetFormatPr defaultRowHeight="14.5"/>
  <cols>
    <col min="1" max="1" width="26.81640625" bestFit="1" customWidth="1"/>
    <col min="2" max="2" width="14.7265625" customWidth="1"/>
  </cols>
  <sheetData>
    <row r="1" spans="1:2">
      <c r="A1" s="92" t="s">
        <v>239</v>
      </c>
    </row>
    <row r="2" spans="1:2">
      <c r="A2" t="s">
        <v>194</v>
      </c>
      <c r="B2" s="90">
        <f>20000*2</f>
        <v>40000</v>
      </c>
    </row>
    <row r="3" spans="1:2">
      <c r="A3" t="s">
        <v>195</v>
      </c>
      <c r="B3" s="90">
        <v>20000</v>
      </c>
    </row>
    <row r="4" spans="1:2">
      <c r="A4" t="s">
        <v>196</v>
      </c>
      <c r="B4" s="90">
        <v>20000</v>
      </c>
    </row>
    <row r="5" spans="1:2">
      <c r="A5" t="s">
        <v>197</v>
      </c>
      <c r="B5" s="90">
        <v>15000</v>
      </c>
    </row>
    <row r="6" spans="1:2">
      <c r="A6" t="s">
        <v>198</v>
      </c>
      <c r="B6" s="90">
        <v>10000</v>
      </c>
    </row>
    <row r="7" spans="1:2">
      <c r="A7" t="s">
        <v>199</v>
      </c>
      <c r="B7" s="90">
        <v>10000</v>
      </c>
    </row>
    <row r="8" spans="1:2">
      <c r="A8" t="s">
        <v>200</v>
      </c>
      <c r="B8" s="90">
        <v>10000</v>
      </c>
    </row>
    <row r="9" spans="1:2">
      <c r="A9" t="s">
        <v>201</v>
      </c>
      <c r="B9" s="90">
        <v>10000</v>
      </c>
    </row>
    <row r="10" spans="1:2">
      <c r="A10" t="s">
        <v>202</v>
      </c>
      <c r="B10" s="90">
        <v>10000</v>
      </c>
    </row>
    <row r="11" spans="1:2">
      <c r="A11" t="s">
        <v>203</v>
      </c>
      <c r="B11" s="90">
        <v>10000</v>
      </c>
    </row>
    <row r="12" spans="1:2">
      <c r="A12" t="s">
        <v>204</v>
      </c>
      <c r="B12" s="90">
        <v>10000</v>
      </c>
    </row>
    <row r="13" spans="1:2">
      <c r="A13" t="s">
        <v>205</v>
      </c>
      <c r="B13" s="90">
        <v>10000</v>
      </c>
    </row>
    <row r="14" spans="1:2">
      <c r="A14" t="s">
        <v>206</v>
      </c>
      <c r="B14" s="90">
        <v>10000</v>
      </c>
    </row>
    <row r="15" spans="1:2">
      <c r="A15" t="s">
        <v>207</v>
      </c>
      <c r="B15" s="90">
        <v>10000</v>
      </c>
    </row>
    <row r="16" spans="1:2">
      <c r="A16" t="s">
        <v>208</v>
      </c>
      <c r="B16" s="90">
        <v>10000</v>
      </c>
    </row>
    <row r="17" spans="1:2">
      <c r="A17" t="s">
        <v>209</v>
      </c>
      <c r="B17" s="90">
        <v>10000</v>
      </c>
    </row>
    <row r="18" spans="1:2">
      <c r="A18" t="s">
        <v>210</v>
      </c>
      <c r="B18" s="90">
        <v>10000</v>
      </c>
    </row>
    <row r="19" spans="1:2">
      <c r="A19" t="s">
        <v>211</v>
      </c>
      <c r="B19" s="90">
        <v>10000</v>
      </c>
    </row>
    <row r="20" spans="1:2">
      <c r="A20" t="s">
        <v>212</v>
      </c>
      <c r="B20" s="90">
        <v>10000</v>
      </c>
    </row>
    <row r="21" spans="1:2">
      <c r="A21" t="s">
        <v>213</v>
      </c>
      <c r="B21" s="90">
        <v>10000</v>
      </c>
    </row>
    <row r="22" spans="1:2">
      <c r="A22" t="s">
        <v>214</v>
      </c>
      <c r="B22" s="90">
        <v>10000</v>
      </c>
    </row>
    <row r="23" spans="1:2">
      <c r="A23" t="s">
        <v>215</v>
      </c>
      <c r="B23" s="90">
        <v>10000</v>
      </c>
    </row>
    <row r="24" spans="1:2">
      <c r="A24" t="s">
        <v>216</v>
      </c>
      <c r="B24" s="90">
        <v>10000</v>
      </c>
    </row>
    <row r="25" spans="1:2">
      <c r="A25" t="s">
        <v>217</v>
      </c>
      <c r="B25" s="90">
        <v>10000</v>
      </c>
    </row>
    <row r="26" spans="1:2">
      <c r="A26" t="s">
        <v>218</v>
      </c>
      <c r="B26" s="90">
        <v>10000</v>
      </c>
    </row>
    <row r="27" spans="1:2">
      <c r="A27" t="s">
        <v>219</v>
      </c>
      <c r="B27" s="90">
        <v>10000</v>
      </c>
    </row>
    <row r="28" spans="1:2">
      <c r="A28" t="s">
        <v>220</v>
      </c>
      <c r="B28" s="90">
        <v>10000</v>
      </c>
    </row>
    <row r="29" spans="1:2">
      <c r="A29" t="s">
        <v>221</v>
      </c>
      <c r="B29" s="90">
        <v>10000</v>
      </c>
    </row>
    <row r="30" spans="1:2">
      <c r="A30" t="s">
        <v>222</v>
      </c>
      <c r="B30" s="90">
        <v>10000</v>
      </c>
    </row>
    <row r="31" spans="1:2">
      <c r="A31" t="s">
        <v>223</v>
      </c>
      <c r="B31" s="90">
        <v>10000</v>
      </c>
    </row>
    <row r="32" spans="1:2">
      <c r="A32" t="s">
        <v>224</v>
      </c>
      <c r="B32" s="90">
        <v>10000</v>
      </c>
    </row>
    <row r="33" spans="1:2">
      <c r="A33" t="s">
        <v>225</v>
      </c>
      <c r="B33" s="90">
        <v>10000</v>
      </c>
    </row>
    <row r="34" spans="1:2">
      <c r="A34" t="s">
        <v>226</v>
      </c>
      <c r="B34" s="90">
        <v>10000</v>
      </c>
    </row>
    <row r="35" spans="1:2">
      <c r="A35" t="s">
        <v>227</v>
      </c>
      <c r="B35" s="90">
        <v>10000</v>
      </c>
    </row>
    <row r="36" spans="1:2">
      <c r="A36" t="s">
        <v>228</v>
      </c>
      <c r="B36" s="90">
        <v>10000</v>
      </c>
    </row>
    <row r="37" spans="1:2">
      <c r="A37" t="s">
        <v>229</v>
      </c>
      <c r="B37" s="90">
        <v>10000</v>
      </c>
    </row>
    <row r="38" spans="1:2">
      <c r="A38" t="s">
        <v>230</v>
      </c>
      <c r="B38" s="90">
        <v>10000</v>
      </c>
    </row>
    <row r="39" spans="1:2">
      <c r="A39" t="s">
        <v>231</v>
      </c>
      <c r="B39" s="90">
        <v>10000</v>
      </c>
    </row>
    <row r="40" spans="1:2">
      <c r="A40" s="93" t="s">
        <v>232</v>
      </c>
      <c r="B40" s="90">
        <v>5000</v>
      </c>
    </row>
    <row r="41" spans="1:2">
      <c r="A41" s="93" t="s">
        <v>233</v>
      </c>
      <c r="B41" s="90">
        <v>5000</v>
      </c>
    </row>
    <row r="42" spans="1:2">
      <c r="A42" t="s">
        <v>234</v>
      </c>
      <c r="B42" s="90">
        <v>5000</v>
      </c>
    </row>
    <row r="43" spans="1:2">
      <c r="A43" t="s">
        <v>235</v>
      </c>
      <c r="B43" s="90">
        <v>5000</v>
      </c>
    </row>
    <row r="44" spans="1:2">
      <c r="A44" t="s">
        <v>236</v>
      </c>
      <c r="B44" s="90">
        <v>5000</v>
      </c>
    </row>
    <row r="45" spans="1:2">
      <c r="A45" s="94" t="s">
        <v>237</v>
      </c>
      <c r="B45" s="90">
        <v>3000</v>
      </c>
    </row>
    <row r="46" spans="1:2">
      <c r="A46" s="94" t="s">
        <v>238</v>
      </c>
      <c r="B46" s="90">
        <v>3000</v>
      </c>
    </row>
    <row r="47" spans="1:2">
      <c r="B47" s="61">
        <f>SUM(B2:B46)</f>
        <v>466000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19" zoomScale="150" zoomScaleNormal="150" workbookViewId="0">
      <selection activeCell="B24" sqref="B24"/>
    </sheetView>
  </sheetViews>
  <sheetFormatPr defaultRowHeight="14.5"/>
  <cols>
    <col min="1" max="1" width="26.81640625" bestFit="1" customWidth="1"/>
    <col min="2" max="2" width="10.54296875" bestFit="1" customWidth="1"/>
  </cols>
  <sheetData>
    <row r="1" spans="1:2">
      <c r="A1" t="s">
        <v>243</v>
      </c>
    </row>
    <row r="2" spans="1:2">
      <c r="A2" t="s">
        <v>198</v>
      </c>
      <c r="B2" s="90">
        <v>200000</v>
      </c>
    </row>
    <row r="3" spans="1:2">
      <c r="A3" t="s">
        <v>199</v>
      </c>
      <c r="B3" s="90">
        <v>200000</v>
      </c>
    </row>
    <row r="4" spans="1:2">
      <c r="A4" t="s">
        <v>200</v>
      </c>
      <c r="B4" s="90">
        <v>200000</v>
      </c>
    </row>
    <row r="5" spans="1:2">
      <c r="A5" t="s">
        <v>201</v>
      </c>
      <c r="B5" s="90">
        <v>200000</v>
      </c>
    </row>
    <row r="6" spans="1:2">
      <c r="A6" t="s">
        <v>202</v>
      </c>
      <c r="B6" s="90">
        <v>200000</v>
      </c>
    </row>
    <row r="7" spans="1:2">
      <c r="A7" t="s">
        <v>203</v>
      </c>
      <c r="B7" s="90">
        <v>200000</v>
      </c>
    </row>
    <row r="8" spans="1:2">
      <c r="A8" t="s">
        <v>206</v>
      </c>
      <c r="B8" s="90">
        <v>150000</v>
      </c>
    </row>
    <row r="9" spans="1:2">
      <c r="A9" t="s">
        <v>207</v>
      </c>
      <c r="B9" s="90">
        <v>150000</v>
      </c>
    </row>
    <row r="10" spans="1:2">
      <c r="A10" t="s">
        <v>208</v>
      </c>
      <c r="B10" s="90">
        <v>150000</v>
      </c>
    </row>
    <row r="11" spans="1:2">
      <c r="A11" t="s">
        <v>209</v>
      </c>
      <c r="B11" s="90">
        <v>150000</v>
      </c>
    </row>
    <row r="12" spans="1:2">
      <c r="A12" t="s">
        <v>210</v>
      </c>
      <c r="B12" s="90">
        <v>150000</v>
      </c>
    </row>
    <row r="13" spans="1:2">
      <c r="A13" t="s">
        <v>211</v>
      </c>
      <c r="B13" s="90">
        <v>150000</v>
      </c>
    </row>
    <row r="14" spans="1:2">
      <c r="A14" t="s">
        <v>216</v>
      </c>
      <c r="B14" s="90">
        <v>150000</v>
      </c>
    </row>
    <row r="15" spans="1:2">
      <c r="A15" t="s">
        <v>217</v>
      </c>
      <c r="B15" s="90">
        <v>150000</v>
      </c>
    </row>
    <row r="16" spans="1:2">
      <c r="A16" t="s">
        <v>218</v>
      </c>
      <c r="B16" s="90">
        <v>150000</v>
      </c>
    </row>
    <row r="17" spans="1:2">
      <c r="A17" t="s">
        <v>219</v>
      </c>
      <c r="B17" s="90">
        <v>150000</v>
      </c>
    </row>
    <row r="18" spans="1:2">
      <c r="A18" t="s">
        <v>220</v>
      </c>
      <c r="B18" s="90">
        <v>150000</v>
      </c>
    </row>
    <row r="19" spans="1:2">
      <c r="A19" t="s">
        <v>221</v>
      </c>
      <c r="B19" s="90">
        <v>150000</v>
      </c>
    </row>
    <row r="20" spans="1:2">
      <c r="A20" t="s">
        <v>222</v>
      </c>
      <c r="B20" s="90">
        <v>150000</v>
      </c>
    </row>
    <row r="21" spans="1:2">
      <c r="A21" t="s">
        <v>223</v>
      </c>
      <c r="B21" s="90">
        <v>150000</v>
      </c>
    </row>
    <row r="22" spans="1:2">
      <c r="A22" t="s">
        <v>224</v>
      </c>
      <c r="B22" s="90">
        <v>150000</v>
      </c>
    </row>
    <row r="23" spans="1:2">
      <c r="A23" t="s">
        <v>225</v>
      </c>
      <c r="B23" s="90">
        <v>150000</v>
      </c>
    </row>
    <row r="24" spans="1:2">
      <c r="B24" s="61">
        <f>SUM(B2:B23)</f>
        <v>3600000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defaultRowHeight="14.5"/>
  <cols>
    <col min="1" max="1" width="20" bestFit="1" customWidth="1"/>
    <col min="2" max="2" width="11.54296875" bestFit="1" customWidth="1"/>
    <col min="3" max="5" width="10.54296875" bestFit="1" customWidth="1"/>
  </cols>
  <sheetData>
    <row r="1" spans="1:5">
      <c r="A1" t="s">
        <v>170</v>
      </c>
    </row>
    <row r="2" spans="1:5">
      <c r="C2" t="s">
        <v>246</v>
      </c>
      <c r="D2" t="s">
        <v>247</v>
      </c>
    </row>
    <row r="3" spans="1:5">
      <c r="A3" t="s">
        <v>245</v>
      </c>
      <c r="B3" s="90">
        <v>260</v>
      </c>
      <c r="C3" s="61">
        <f>B3*15000</f>
        <v>3900000</v>
      </c>
      <c r="D3" s="61">
        <f>B3*2*10000</f>
        <v>5200000</v>
      </c>
      <c r="E3" s="61">
        <f>C3+D3</f>
        <v>9100000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3"/>
  <sheetViews>
    <sheetView topLeftCell="A4" zoomScale="160" zoomScaleNormal="160" workbookViewId="0">
      <selection activeCell="B14" sqref="B14"/>
    </sheetView>
  </sheetViews>
  <sheetFormatPr defaultRowHeight="14.5"/>
  <cols>
    <col min="2" max="2" width="13.81640625" bestFit="1" customWidth="1"/>
  </cols>
  <sheetData>
    <row r="4" spans="1:2">
      <c r="B4" t="s">
        <v>272</v>
      </c>
    </row>
    <row r="5" spans="1:2">
      <c r="A5" t="s">
        <v>256</v>
      </c>
      <c r="B5" s="90">
        <v>3574075</v>
      </c>
    </row>
    <row r="6" spans="1:2">
      <c r="A6" t="s">
        <v>258</v>
      </c>
      <c r="B6" s="90">
        <v>3522960</v>
      </c>
    </row>
    <row r="7" spans="1:2">
      <c r="A7" t="s">
        <v>259</v>
      </c>
      <c r="B7" s="90">
        <v>2253360</v>
      </c>
    </row>
    <row r="8" spans="1:2">
      <c r="A8" t="s">
        <v>257</v>
      </c>
      <c r="B8" s="90">
        <v>2419200</v>
      </c>
    </row>
    <row r="9" spans="1:2">
      <c r="A9" t="s">
        <v>273</v>
      </c>
      <c r="B9" s="90">
        <v>4094880</v>
      </c>
    </row>
    <row r="10" spans="1:2">
      <c r="A10" t="s">
        <v>260</v>
      </c>
      <c r="B10" s="90">
        <v>73274100</v>
      </c>
    </row>
    <row r="11" spans="1:2">
      <c r="B11" s="90">
        <v>89138575</v>
      </c>
    </row>
    <row r="12" spans="1:2">
      <c r="A12" s="104">
        <v>8.3000000000000004E-2</v>
      </c>
      <c r="B12" s="88">
        <f>B11*A12</f>
        <v>7398501.7250000006</v>
      </c>
    </row>
    <row r="13" spans="1:2">
      <c r="B13" s="88">
        <f>B11+B12</f>
        <v>96537076.724999994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zoomScaleNormal="100" workbookViewId="0">
      <selection activeCell="C11" sqref="C11:C12"/>
    </sheetView>
  </sheetViews>
  <sheetFormatPr defaultRowHeight="14.5"/>
  <cols>
    <col min="1" max="1" width="28.453125" customWidth="1"/>
    <col min="2" max="2" width="15.54296875" hidden="1" customWidth="1"/>
    <col min="3" max="3" width="25" bestFit="1" customWidth="1"/>
    <col min="4" max="4" width="18.26953125" bestFit="1" customWidth="1"/>
    <col min="5" max="5" width="11" bestFit="1" customWidth="1"/>
  </cols>
  <sheetData>
    <row r="1" spans="1:4" ht="15.5">
      <c r="A1" s="102" t="s">
        <v>180</v>
      </c>
      <c r="B1" s="102" t="s">
        <v>264</v>
      </c>
      <c r="C1" s="102" t="s">
        <v>263</v>
      </c>
      <c r="D1" s="102" t="s">
        <v>265</v>
      </c>
    </row>
    <row r="2" spans="1:4" ht="15.5">
      <c r="A2" s="99" t="s">
        <v>176</v>
      </c>
      <c r="B2" s="99">
        <v>1081433.7000000002</v>
      </c>
      <c r="C2" s="100">
        <v>1029936.857142857</v>
      </c>
      <c r="D2" s="101">
        <f>B2-C2</f>
        <v>51496.842857143143</v>
      </c>
    </row>
    <row r="3" spans="1:4" ht="15.5">
      <c r="A3" s="99" t="s">
        <v>177</v>
      </c>
      <c r="B3" s="99">
        <v>772600.95000000007</v>
      </c>
      <c r="C3" s="100">
        <v>735810.42857142864</v>
      </c>
      <c r="D3" s="101">
        <f t="shared" ref="D3:D5" si="0">B3-C3</f>
        <v>36790.521428571432</v>
      </c>
    </row>
    <row r="4" spans="1:4" ht="15.5">
      <c r="A4" s="99" t="s">
        <v>178</v>
      </c>
      <c r="B4" s="99">
        <v>617402.25</v>
      </c>
      <c r="C4" s="100">
        <v>588002.14285714284</v>
      </c>
      <c r="D4" s="101">
        <f t="shared" si="0"/>
        <v>29400.107142857159</v>
      </c>
    </row>
    <row r="5" spans="1:4" ht="15.5">
      <c r="A5" s="99" t="s">
        <v>179</v>
      </c>
      <c r="B5" s="99">
        <v>517495.5</v>
      </c>
      <c r="C5" s="100">
        <v>492853</v>
      </c>
      <c r="D5" s="101">
        <f t="shared" si="0"/>
        <v>24642.5</v>
      </c>
    </row>
    <row r="7" spans="1:4">
      <c r="A7" t="s">
        <v>266</v>
      </c>
    </row>
    <row r="8" spans="1:4">
      <c r="A8" t="s">
        <v>267</v>
      </c>
    </row>
    <row r="9" spans="1:4">
      <c r="A9" t="s">
        <v>268</v>
      </c>
      <c r="B9" s="90">
        <f>--893988.285714287</f>
        <v>893988.28571428696</v>
      </c>
    </row>
    <row r="10" spans="1:4">
      <c r="A10" t="s">
        <v>269</v>
      </c>
      <c r="B10" s="90">
        <v>653976.13034000399</v>
      </c>
    </row>
    <row r="11" spans="1:4">
      <c r="A11" s="1" t="s">
        <v>270</v>
      </c>
      <c r="B11" s="74">
        <f>SUM(B9:B10)</f>
        <v>1547964.416054291</v>
      </c>
      <c r="C11" s="90">
        <v>1547964.41605429</v>
      </c>
    </row>
    <row r="12" spans="1:4">
      <c r="A12" s="1" t="s">
        <v>271</v>
      </c>
      <c r="B12" s="74">
        <f>B11*12</f>
        <v>18575572.992651492</v>
      </c>
      <c r="C12" s="90">
        <v>18575573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BUDGET 2025-2026</vt:lpstr>
      <vt:lpstr>presentation to Mgr</vt:lpstr>
      <vt:lpstr>INCOME DETAILS</vt:lpstr>
      <vt:lpstr>Sheet2</vt:lpstr>
      <vt:lpstr>DETAILED Number of students</vt:lpstr>
      <vt:lpstr>Sheet1</vt:lpstr>
      <vt:lpstr>Communication fees</vt:lpstr>
      <vt:lpstr>Responsability allowance</vt:lpstr>
      <vt:lpstr>Sheet5</vt:lpstr>
      <vt:lpstr>Part-time staff cost</vt:lpstr>
      <vt:lpstr>STAFF COST DETAILS</vt:lpstr>
      <vt:lpstr>'INCOME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</dc:creator>
  <cp:lastModifiedBy>HP</cp:lastModifiedBy>
  <cp:lastPrinted>2026-02-12T13:00:30Z</cp:lastPrinted>
  <dcterms:created xsi:type="dcterms:W3CDTF">2024-09-22T18:35:45Z</dcterms:created>
  <dcterms:modified xsi:type="dcterms:W3CDTF">2026-02-12T13:28:27Z</dcterms:modified>
</cp:coreProperties>
</file>